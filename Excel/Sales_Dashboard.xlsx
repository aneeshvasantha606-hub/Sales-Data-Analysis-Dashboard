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nees\Downloads\Sales-Data-Analysis-Dashboard\Excel\"/>
    </mc:Choice>
  </mc:AlternateContent>
  <xr:revisionPtr revIDLastSave="0" documentId="13_ncr:1_{0FF2DCD2-F2C3-4BC4-807C-0B9A77BB4A9F}" xr6:coauthVersionLast="47" xr6:coauthVersionMax="47" xr10:uidLastSave="{00000000-0000-0000-0000-000000000000}"/>
  <bookViews>
    <workbookView xWindow="-108" yWindow="-108" windowWidth="23256" windowHeight="12456" activeTab="1" xr2:uid="{061E8BE5-2901-47E9-B4F9-A2B9DE409460}"/>
  </bookViews>
  <sheets>
    <sheet name="Sales_Dataset" sheetId="1" r:id="rId1"/>
    <sheet name="Sales_Dashboard" sheetId="2" r:id="rId2"/>
  </sheets>
  <definedNames>
    <definedName name="Slicer_Category">#N/A</definedName>
    <definedName name="Slicer_Order_Date_By_Month">#N/A</definedName>
    <definedName name="Slicer_Product">#N/A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50" i="1" l="1"/>
  <c r="C250" i="1"/>
  <c r="K249" i="1"/>
  <c r="C249" i="1"/>
  <c r="K248" i="1"/>
  <c r="C248" i="1"/>
  <c r="K247" i="1"/>
  <c r="C247" i="1"/>
  <c r="K246" i="1"/>
  <c r="C246" i="1"/>
  <c r="K245" i="1"/>
  <c r="C245" i="1"/>
  <c r="K244" i="1"/>
  <c r="C244" i="1"/>
  <c r="K243" i="1"/>
  <c r="C243" i="1"/>
  <c r="K242" i="1"/>
  <c r="C242" i="1"/>
  <c r="K241" i="1"/>
  <c r="C241" i="1"/>
  <c r="K240" i="1"/>
  <c r="C240" i="1"/>
  <c r="K239" i="1"/>
  <c r="C239" i="1"/>
  <c r="K238" i="1"/>
  <c r="C238" i="1"/>
  <c r="K237" i="1"/>
  <c r="C237" i="1"/>
  <c r="K236" i="1"/>
  <c r="C236" i="1"/>
  <c r="K235" i="1"/>
  <c r="C235" i="1"/>
  <c r="K234" i="1"/>
  <c r="C234" i="1"/>
  <c r="K233" i="1"/>
  <c r="C233" i="1"/>
  <c r="K232" i="1"/>
  <c r="C232" i="1"/>
  <c r="K231" i="1"/>
  <c r="C231" i="1"/>
  <c r="K230" i="1"/>
  <c r="C230" i="1"/>
  <c r="K229" i="1"/>
  <c r="C229" i="1"/>
  <c r="K228" i="1"/>
  <c r="C228" i="1"/>
  <c r="K227" i="1"/>
  <c r="C227" i="1"/>
  <c r="K226" i="1"/>
  <c r="C226" i="1"/>
  <c r="K225" i="1"/>
  <c r="C225" i="1"/>
  <c r="K224" i="1"/>
  <c r="C224" i="1"/>
  <c r="K223" i="1"/>
  <c r="C223" i="1"/>
  <c r="K222" i="1"/>
  <c r="C222" i="1"/>
  <c r="K221" i="1"/>
  <c r="C221" i="1"/>
  <c r="K220" i="1"/>
  <c r="C220" i="1"/>
  <c r="K219" i="1"/>
  <c r="C219" i="1"/>
  <c r="K218" i="1"/>
  <c r="C218" i="1"/>
  <c r="K217" i="1"/>
  <c r="C217" i="1"/>
  <c r="K216" i="1"/>
  <c r="C216" i="1"/>
  <c r="K215" i="1"/>
  <c r="C215" i="1"/>
  <c r="K214" i="1"/>
  <c r="C214" i="1"/>
  <c r="K213" i="1"/>
  <c r="C213" i="1"/>
  <c r="K212" i="1"/>
  <c r="C212" i="1"/>
  <c r="K211" i="1"/>
  <c r="C211" i="1"/>
  <c r="K210" i="1"/>
  <c r="C210" i="1"/>
  <c r="K209" i="1"/>
  <c r="C209" i="1"/>
  <c r="K208" i="1"/>
  <c r="C208" i="1"/>
  <c r="K207" i="1"/>
  <c r="C207" i="1"/>
  <c r="K206" i="1"/>
  <c r="C206" i="1"/>
  <c r="K205" i="1"/>
  <c r="C205" i="1"/>
  <c r="K204" i="1"/>
  <c r="C204" i="1"/>
  <c r="K203" i="1"/>
  <c r="C203" i="1"/>
  <c r="K202" i="1"/>
  <c r="C202" i="1"/>
  <c r="K201" i="1"/>
  <c r="C201" i="1"/>
  <c r="K200" i="1"/>
  <c r="C200" i="1"/>
  <c r="K199" i="1"/>
  <c r="C199" i="1"/>
  <c r="K198" i="1"/>
  <c r="C198" i="1"/>
  <c r="K197" i="1"/>
  <c r="C197" i="1"/>
  <c r="K196" i="1"/>
  <c r="C196" i="1"/>
  <c r="K195" i="1"/>
  <c r="C195" i="1"/>
  <c r="K194" i="1"/>
  <c r="C194" i="1"/>
  <c r="K193" i="1"/>
  <c r="C193" i="1"/>
  <c r="K192" i="1"/>
  <c r="C192" i="1"/>
  <c r="K191" i="1"/>
  <c r="C191" i="1"/>
  <c r="K190" i="1"/>
  <c r="C190" i="1"/>
  <c r="K189" i="1"/>
  <c r="C189" i="1"/>
  <c r="K188" i="1"/>
  <c r="C188" i="1"/>
  <c r="K187" i="1"/>
  <c r="C187" i="1"/>
  <c r="K186" i="1"/>
  <c r="C186" i="1"/>
  <c r="K185" i="1"/>
  <c r="C185" i="1"/>
  <c r="K184" i="1"/>
  <c r="C184" i="1"/>
  <c r="K183" i="1"/>
  <c r="C183" i="1"/>
  <c r="K182" i="1"/>
  <c r="C182" i="1"/>
  <c r="K181" i="1"/>
  <c r="C181" i="1"/>
  <c r="K180" i="1"/>
  <c r="C180" i="1"/>
  <c r="K179" i="1"/>
  <c r="C179" i="1"/>
  <c r="K178" i="1"/>
  <c r="C178" i="1"/>
  <c r="K177" i="1"/>
  <c r="C177" i="1"/>
  <c r="K176" i="1"/>
  <c r="C176" i="1"/>
  <c r="K175" i="1"/>
  <c r="C175" i="1"/>
  <c r="K174" i="1"/>
  <c r="C174" i="1"/>
  <c r="K173" i="1"/>
  <c r="C173" i="1"/>
  <c r="K172" i="1"/>
  <c r="C172" i="1"/>
  <c r="K171" i="1"/>
  <c r="C171" i="1"/>
  <c r="K170" i="1"/>
  <c r="C170" i="1"/>
  <c r="K169" i="1"/>
  <c r="C169" i="1"/>
  <c r="K168" i="1"/>
  <c r="C168" i="1"/>
  <c r="K167" i="1"/>
  <c r="C167" i="1"/>
  <c r="K166" i="1"/>
  <c r="C166" i="1"/>
  <c r="K165" i="1"/>
  <c r="C165" i="1"/>
  <c r="K164" i="1"/>
  <c r="C164" i="1"/>
  <c r="K163" i="1"/>
  <c r="C163" i="1"/>
  <c r="K162" i="1"/>
  <c r="C162" i="1"/>
  <c r="K161" i="1"/>
  <c r="C161" i="1"/>
  <c r="K160" i="1"/>
  <c r="C160" i="1"/>
  <c r="K159" i="1"/>
  <c r="C159" i="1"/>
  <c r="K158" i="1"/>
  <c r="C158" i="1"/>
  <c r="K157" i="1"/>
  <c r="C157" i="1"/>
  <c r="K156" i="1"/>
  <c r="C156" i="1"/>
  <c r="K155" i="1"/>
  <c r="C155" i="1"/>
  <c r="K154" i="1"/>
  <c r="C154" i="1"/>
  <c r="K153" i="1"/>
  <c r="C153" i="1"/>
  <c r="K152" i="1"/>
  <c r="C152" i="1"/>
  <c r="K151" i="1"/>
  <c r="C151" i="1"/>
  <c r="K150" i="1"/>
  <c r="C150" i="1"/>
  <c r="K149" i="1"/>
  <c r="C149" i="1"/>
  <c r="K148" i="1"/>
  <c r="C148" i="1"/>
  <c r="K147" i="1"/>
  <c r="C147" i="1"/>
  <c r="K146" i="1"/>
  <c r="C146" i="1"/>
  <c r="K145" i="1"/>
  <c r="C145" i="1"/>
  <c r="K144" i="1"/>
  <c r="C144" i="1"/>
  <c r="K143" i="1"/>
  <c r="C143" i="1"/>
  <c r="K142" i="1"/>
  <c r="C142" i="1"/>
  <c r="K141" i="1"/>
  <c r="C141" i="1"/>
  <c r="K140" i="1"/>
  <c r="C140" i="1"/>
  <c r="K139" i="1"/>
  <c r="C139" i="1"/>
  <c r="K138" i="1"/>
  <c r="C138" i="1"/>
  <c r="K137" i="1"/>
  <c r="C137" i="1"/>
  <c r="K136" i="1"/>
  <c r="C136" i="1"/>
  <c r="K135" i="1"/>
  <c r="C135" i="1"/>
  <c r="K134" i="1"/>
  <c r="C134" i="1"/>
  <c r="K133" i="1"/>
  <c r="C133" i="1"/>
  <c r="K132" i="1"/>
  <c r="C132" i="1"/>
  <c r="K131" i="1"/>
  <c r="C131" i="1"/>
  <c r="K130" i="1"/>
  <c r="C130" i="1"/>
  <c r="K129" i="1"/>
  <c r="C129" i="1"/>
  <c r="K128" i="1"/>
  <c r="C128" i="1"/>
  <c r="K127" i="1"/>
  <c r="C127" i="1"/>
  <c r="K126" i="1"/>
  <c r="C126" i="1"/>
  <c r="K125" i="1"/>
  <c r="C125" i="1"/>
  <c r="K124" i="1"/>
  <c r="C124" i="1"/>
  <c r="K123" i="1"/>
  <c r="C123" i="1"/>
  <c r="K122" i="1"/>
  <c r="C122" i="1"/>
  <c r="K121" i="1"/>
  <c r="C121" i="1"/>
  <c r="K120" i="1"/>
  <c r="C120" i="1"/>
  <c r="K119" i="1"/>
  <c r="C119" i="1"/>
  <c r="K118" i="1"/>
  <c r="C118" i="1"/>
  <c r="K117" i="1"/>
  <c r="C117" i="1"/>
  <c r="K116" i="1"/>
  <c r="C116" i="1"/>
  <c r="K115" i="1"/>
  <c r="C115" i="1"/>
  <c r="K114" i="1"/>
  <c r="C114" i="1"/>
  <c r="K113" i="1"/>
  <c r="C113" i="1"/>
  <c r="K112" i="1"/>
  <c r="C112" i="1"/>
  <c r="K111" i="1"/>
  <c r="C111" i="1"/>
  <c r="K110" i="1"/>
  <c r="C110" i="1"/>
  <c r="K109" i="1"/>
  <c r="C109" i="1"/>
  <c r="K108" i="1"/>
  <c r="C108" i="1"/>
  <c r="K107" i="1"/>
  <c r="C107" i="1"/>
  <c r="K106" i="1"/>
  <c r="C106" i="1"/>
  <c r="K105" i="1"/>
  <c r="C105" i="1"/>
  <c r="K104" i="1"/>
  <c r="C104" i="1"/>
  <c r="K103" i="1"/>
  <c r="C103" i="1"/>
  <c r="K102" i="1"/>
  <c r="C102" i="1"/>
  <c r="K101" i="1"/>
  <c r="C101" i="1"/>
  <c r="K100" i="1"/>
  <c r="C100" i="1"/>
  <c r="K99" i="1"/>
  <c r="C99" i="1"/>
  <c r="K98" i="1"/>
  <c r="C98" i="1"/>
  <c r="K97" i="1"/>
  <c r="C97" i="1"/>
  <c r="K96" i="1"/>
  <c r="C96" i="1"/>
  <c r="K95" i="1"/>
  <c r="C95" i="1"/>
  <c r="K94" i="1"/>
  <c r="C94" i="1"/>
  <c r="K93" i="1"/>
  <c r="C93" i="1"/>
  <c r="K92" i="1"/>
  <c r="C92" i="1"/>
  <c r="K91" i="1"/>
  <c r="C91" i="1"/>
  <c r="K90" i="1"/>
  <c r="C90" i="1"/>
  <c r="K89" i="1"/>
  <c r="C89" i="1"/>
  <c r="K88" i="1"/>
  <c r="C88" i="1"/>
  <c r="K87" i="1"/>
  <c r="C87" i="1"/>
  <c r="K86" i="1"/>
  <c r="C86" i="1"/>
  <c r="K85" i="1"/>
  <c r="C85" i="1"/>
  <c r="K84" i="1"/>
  <c r="C84" i="1"/>
  <c r="K83" i="1"/>
  <c r="C83" i="1"/>
  <c r="K82" i="1"/>
  <c r="C82" i="1"/>
  <c r="K81" i="1"/>
  <c r="C81" i="1"/>
  <c r="K80" i="1"/>
  <c r="C80" i="1"/>
  <c r="K79" i="1"/>
  <c r="C79" i="1"/>
  <c r="K78" i="1"/>
  <c r="C78" i="1"/>
  <c r="K77" i="1"/>
  <c r="C77" i="1"/>
  <c r="K76" i="1"/>
  <c r="C76" i="1"/>
  <c r="K75" i="1"/>
  <c r="C75" i="1"/>
  <c r="K74" i="1"/>
  <c r="C74" i="1"/>
  <c r="K73" i="1"/>
  <c r="C73" i="1"/>
  <c r="K72" i="1"/>
  <c r="C72" i="1"/>
  <c r="K71" i="1"/>
  <c r="C71" i="1"/>
  <c r="K70" i="1"/>
  <c r="C70" i="1"/>
  <c r="K69" i="1"/>
  <c r="C69" i="1"/>
  <c r="K68" i="1"/>
  <c r="C68" i="1"/>
  <c r="K67" i="1"/>
  <c r="C67" i="1"/>
  <c r="K66" i="1"/>
  <c r="C66" i="1"/>
  <c r="K65" i="1"/>
  <c r="C65" i="1"/>
  <c r="K64" i="1"/>
  <c r="C64" i="1"/>
  <c r="K63" i="1"/>
  <c r="C63" i="1"/>
  <c r="K62" i="1"/>
  <c r="C62" i="1"/>
  <c r="K61" i="1"/>
  <c r="C61" i="1"/>
  <c r="K60" i="1"/>
  <c r="C60" i="1"/>
  <c r="K59" i="1"/>
  <c r="C59" i="1"/>
  <c r="K58" i="1"/>
  <c r="C58" i="1"/>
  <c r="K57" i="1"/>
  <c r="C57" i="1"/>
  <c r="K56" i="1"/>
  <c r="C56" i="1"/>
  <c r="K55" i="1"/>
  <c r="C55" i="1"/>
  <c r="K54" i="1"/>
  <c r="C54" i="1"/>
  <c r="K53" i="1"/>
  <c r="C53" i="1"/>
  <c r="K52" i="1"/>
  <c r="C52" i="1"/>
  <c r="K51" i="1"/>
  <c r="C51" i="1"/>
  <c r="K50" i="1"/>
  <c r="C50" i="1"/>
  <c r="K49" i="1"/>
  <c r="C49" i="1"/>
  <c r="K48" i="1"/>
  <c r="C48" i="1"/>
  <c r="K47" i="1"/>
  <c r="C47" i="1"/>
  <c r="K46" i="1"/>
  <c r="C46" i="1"/>
  <c r="K45" i="1"/>
  <c r="C45" i="1"/>
  <c r="K44" i="1"/>
  <c r="C44" i="1"/>
  <c r="K43" i="1"/>
  <c r="C43" i="1"/>
  <c r="K42" i="1"/>
  <c r="C42" i="1"/>
  <c r="K41" i="1"/>
  <c r="C41" i="1"/>
  <c r="K40" i="1"/>
  <c r="C40" i="1"/>
  <c r="K39" i="1"/>
  <c r="C39" i="1"/>
  <c r="K38" i="1"/>
  <c r="C38" i="1"/>
  <c r="K37" i="1"/>
  <c r="C37" i="1"/>
  <c r="K36" i="1"/>
  <c r="C36" i="1"/>
  <c r="K35" i="1"/>
  <c r="C35" i="1"/>
  <c r="K34" i="1"/>
  <c r="C34" i="1"/>
  <c r="K33" i="1"/>
  <c r="C33" i="1"/>
  <c r="K32" i="1"/>
  <c r="C32" i="1"/>
  <c r="K31" i="1"/>
  <c r="C31" i="1"/>
  <c r="K30" i="1"/>
  <c r="C30" i="1"/>
  <c r="K29" i="1"/>
  <c r="C29" i="1"/>
  <c r="K28" i="1"/>
  <c r="C28" i="1"/>
  <c r="K27" i="1"/>
  <c r="C27" i="1"/>
  <c r="K26" i="1"/>
  <c r="C26" i="1"/>
  <c r="K25" i="1"/>
  <c r="C25" i="1"/>
  <c r="K24" i="1"/>
  <c r="C24" i="1"/>
  <c r="K23" i="1"/>
  <c r="C23" i="1"/>
  <c r="K22" i="1"/>
  <c r="C22" i="1"/>
  <c r="K21" i="1"/>
  <c r="C21" i="1"/>
  <c r="AN20" i="1"/>
  <c r="AN21" i="1" s="1"/>
  <c r="AN22" i="1" s="1"/>
  <c r="AN23" i="1" s="1"/>
  <c r="AN24" i="1" s="1"/>
  <c r="AN25" i="1" s="1"/>
  <c r="AN26" i="1" s="1"/>
  <c r="AN27" i="1" s="1"/>
  <c r="AN28" i="1" s="1"/>
  <c r="AN29" i="1" s="1"/>
  <c r="AM20" i="1"/>
  <c r="AM21" i="1" s="1"/>
  <c r="AM22" i="1" s="1"/>
  <c r="AM23" i="1" s="1"/>
  <c r="AM24" i="1" s="1"/>
  <c r="AM25" i="1" s="1"/>
  <c r="AM26" i="1" s="1"/>
  <c r="AM27" i="1" s="1"/>
  <c r="AM28" i="1" s="1"/>
  <c r="AM29" i="1" s="1"/>
  <c r="AL20" i="1"/>
  <c r="AL21" i="1" s="1"/>
  <c r="AL22" i="1" s="1"/>
  <c r="AL23" i="1" s="1"/>
  <c r="AL24" i="1" s="1"/>
  <c r="AL25" i="1" s="1"/>
  <c r="AL26" i="1" s="1"/>
  <c r="AL27" i="1" s="1"/>
  <c r="AL28" i="1" s="1"/>
  <c r="AL29" i="1" s="1"/>
  <c r="AK20" i="1"/>
  <c r="AK21" i="1" s="1"/>
  <c r="AK22" i="1" s="1"/>
  <c r="AK23" i="1" s="1"/>
  <c r="AK24" i="1" s="1"/>
  <c r="AK25" i="1" s="1"/>
  <c r="AK26" i="1" s="1"/>
  <c r="AK27" i="1" s="1"/>
  <c r="AK28" i="1" s="1"/>
  <c r="AK29" i="1" s="1"/>
  <c r="AJ20" i="1"/>
  <c r="AJ21" i="1" s="1"/>
  <c r="AJ22" i="1" s="1"/>
  <c r="AJ23" i="1" s="1"/>
  <c r="AJ24" i="1" s="1"/>
  <c r="AJ25" i="1" s="1"/>
  <c r="AJ26" i="1" s="1"/>
  <c r="AJ27" i="1" s="1"/>
  <c r="AJ28" i="1" s="1"/>
  <c r="AJ29" i="1" s="1"/>
  <c r="AI20" i="1"/>
  <c r="AI21" i="1" s="1"/>
  <c r="AI22" i="1" s="1"/>
  <c r="AI23" i="1" s="1"/>
  <c r="AI24" i="1" s="1"/>
  <c r="AI25" i="1" s="1"/>
  <c r="AI26" i="1" s="1"/>
  <c r="AI27" i="1" s="1"/>
  <c r="AI28" i="1" s="1"/>
  <c r="AI29" i="1" s="1"/>
  <c r="AH20" i="1"/>
  <c r="AH21" i="1" s="1"/>
  <c r="AH22" i="1" s="1"/>
  <c r="AH23" i="1" s="1"/>
  <c r="AH24" i="1" s="1"/>
  <c r="AH25" i="1" s="1"/>
  <c r="AH26" i="1" s="1"/>
  <c r="AH27" i="1" s="1"/>
  <c r="AH28" i="1" s="1"/>
  <c r="AH29" i="1" s="1"/>
  <c r="AG20" i="1"/>
  <c r="AG21" i="1" s="1"/>
  <c r="AG22" i="1" s="1"/>
  <c r="AG23" i="1" s="1"/>
  <c r="AG24" i="1" s="1"/>
  <c r="AG25" i="1" s="1"/>
  <c r="AG26" i="1" s="1"/>
  <c r="AG27" i="1" s="1"/>
  <c r="AG28" i="1" s="1"/>
  <c r="AG29" i="1" s="1"/>
  <c r="AF20" i="1"/>
  <c r="AF21" i="1" s="1"/>
  <c r="AF22" i="1" s="1"/>
  <c r="AF23" i="1" s="1"/>
  <c r="AF24" i="1" s="1"/>
  <c r="AF25" i="1" s="1"/>
  <c r="AF26" i="1" s="1"/>
  <c r="AF27" i="1" s="1"/>
  <c r="AF28" i="1" s="1"/>
  <c r="AF29" i="1" s="1"/>
  <c r="AE20" i="1"/>
  <c r="AE21" i="1" s="1"/>
  <c r="AE22" i="1" s="1"/>
  <c r="AE23" i="1" s="1"/>
  <c r="AE24" i="1" s="1"/>
  <c r="AE25" i="1" s="1"/>
  <c r="AE26" i="1" s="1"/>
  <c r="AE27" i="1" s="1"/>
  <c r="AE28" i="1" s="1"/>
  <c r="AE29" i="1" s="1"/>
  <c r="K20" i="1"/>
  <c r="C20" i="1"/>
  <c r="K19" i="1"/>
  <c r="C19" i="1"/>
  <c r="K18" i="1"/>
  <c r="C18" i="1"/>
  <c r="K17" i="1"/>
  <c r="C17" i="1"/>
  <c r="K16" i="1"/>
  <c r="C16" i="1"/>
  <c r="AF15" i="1"/>
  <c r="K15" i="1"/>
  <c r="C15" i="1"/>
  <c r="AF14" i="1"/>
  <c r="K14" i="1"/>
  <c r="C14" i="1"/>
  <c r="K13" i="1"/>
  <c r="C13" i="1"/>
  <c r="AF12" i="1"/>
  <c r="K12" i="1"/>
  <c r="C12" i="1"/>
  <c r="AF11" i="1"/>
  <c r="K11" i="1"/>
  <c r="AF13" i="1" s="1"/>
  <c r="C11" i="1"/>
  <c r="AF10" i="1"/>
  <c r="K10" i="1"/>
  <c r="C10" i="1"/>
  <c r="K9" i="1"/>
  <c r="C9" i="1"/>
  <c r="AF8" i="1"/>
  <c r="K8" i="1"/>
  <c r="C8" i="1"/>
  <c r="AF7" i="1"/>
  <c r="K7" i="1"/>
  <c r="AF9" i="1" s="1"/>
  <c r="C7" i="1"/>
  <c r="AF6" i="1"/>
  <c r="K6" i="1"/>
  <c r="C6" i="1"/>
  <c r="K5" i="1"/>
  <c r="C5" i="1"/>
  <c r="AF4" i="1"/>
  <c r="K4" i="1"/>
  <c r="C4" i="1"/>
  <c r="K3" i="1"/>
  <c r="AF5" i="1" s="1"/>
  <c r="C3" i="1"/>
  <c r="K2" i="1"/>
  <c r="C2" i="1"/>
</calcChain>
</file>

<file path=xl/sharedStrings.xml><?xml version="1.0" encoding="utf-8"?>
<sst xmlns="http://schemas.openxmlformats.org/spreadsheetml/2006/main" count="1097" uniqueCount="101">
  <si>
    <t>Order_ID</t>
  </si>
  <si>
    <t>Order_Date</t>
  </si>
  <si>
    <t>Order_Date_By_Month</t>
  </si>
  <si>
    <t>Customer_Name</t>
  </si>
  <si>
    <t>Region</t>
  </si>
  <si>
    <t>Product</t>
  </si>
  <si>
    <t>Category</t>
  </si>
  <si>
    <t>Quantity</t>
  </si>
  <si>
    <t>Price</t>
  </si>
  <si>
    <t>Sales</t>
  </si>
  <si>
    <t>Average_Sales</t>
  </si>
  <si>
    <t>SALES BY REGION</t>
  </si>
  <si>
    <t>Customer_24</t>
  </si>
  <si>
    <t>East</t>
  </si>
  <si>
    <t>Headphones</t>
  </si>
  <si>
    <t>Electronics</t>
  </si>
  <si>
    <t>Row Labels</t>
  </si>
  <si>
    <t>Sum of Sales</t>
  </si>
  <si>
    <t>VLOOKUP</t>
  </si>
  <si>
    <t>Customer_27</t>
  </si>
  <si>
    <t>Monitor</t>
  </si>
  <si>
    <t>Accessories</t>
  </si>
  <si>
    <t>Customer_31</t>
  </si>
  <si>
    <t>North</t>
  </si>
  <si>
    <t>Customer_32</t>
  </si>
  <si>
    <t>south</t>
  </si>
  <si>
    <t>Customer_12</t>
  </si>
  <si>
    <t>laptop</t>
  </si>
  <si>
    <t>West</t>
  </si>
  <si>
    <t>Customer_29</t>
  </si>
  <si>
    <t>Phone</t>
  </si>
  <si>
    <t>Grand Total</t>
  </si>
  <si>
    <t>South</t>
  </si>
  <si>
    <t>Customer_33</t>
  </si>
  <si>
    <t>Laptop</t>
  </si>
  <si>
    <t>AVERAGE SALES BY REGION</t>
  </si>
  <si>
    <t>Customer_7</t>
  </si>
  <si>
    <t>Sum of Average_Sales</t>
  </si>
  <si>
    <t>Customer_35</t>
  </si>
  <si>
    <t>Customer_13</t>
  </si>
  <si>
    <t>Customer_50</t>
  </si>
  <si>
    <t>Tablet</t>
  </si>
  <si>
    <t>Customer_8</t>
  </si>
  <si>
    <t>Customer_2</t>
  </si>
  <si>
    <t>SALES BY CATEGORY</t>
  </si>
  <si>
    <t>HLOOKUP</t>
  </si>
  <si>
    <t>Customer_44</t>
  </si>
  <si>
    <t>Customer_1</t>
  </si>
  <si>
    <t>TOP PRODUCT BY SALES</t>
  </si>
  <si>
    <t>Customer_41</t>
  </si>
  <si>
    <t>Customer_38</t>
  </si>
  <si>
    <t>Customer_46</t>
  </si>
  <si>
    <t>Customer_36</t>
  </si>
  <si>
    <t>Customer_19</t>
  </si>
  <si>
    <t>MONTHLY SALES TREND</t>
  </si>
  <si>
    <t>Jan</t>
  </si>
  <si>
    <t>Customer_20</t>
  </si>
  <si>
    <t>Feb</t>
  </si>
  <si>
    <t>Mar</t>
  </si>
  <si>
    <t>Customer_4</t>
  </si>
  <si>
    <t>Apr</t>
  </si>
  <si>
    <t>May</t>
  </si>
  <si>
    <t>Jun</t>
  </si>
  <si>
    <t>Jul</t>
  </si>
  <si>
    <t>Aug</t>
  </si>
  <si>
    <t>Sep</t>
  </si>
  <si>
    <t>Customer_34</t>
  </si>
  <si>
    <t>Oct</t>
  </si>
  <si>
    <t>Customer_5</t>
  </si>
  <si>
    <t>Nov</t>
  </si>
  <si>
    <t>Dec</t>
  </si>
  <si>
    <t>Customer_42</t>
  </si>
  <si>
    <t>Customer_37</t>
  </si>
  <si>
    <t>Customer_25</t>
  </si>
  <si>
    <t>QUANTITY SOLD BY CATEGORY</t>
  </si>
  <si>
    <t>Customer_15</t>
  </si>
  <si>
    <t>Sum of Quantity</t>
  </si>
  <si>
    <t>Customer_48</t>
  </si>
  <si>
    <t>Customer_28</t>
  </si>
  <si>
    <t>Customer_39</t>
  </si>
  <si>
    <t>PRODUCT WISE QUANTITY</t>
  </si>
  <si>
    <t>Customer_11</t>
  </si>
  <si>
    <t>Customer_40</t>
  </si>
  <si>
    <t>Customer_9</t>
  </si>
  <si>
    <t>Customer_45</t>
  </si>
  <si>
    <t>Customer_21</t>
  </si>
  <si>
    <t>TOP CUSTOMERS BY SALES</t>
  </si>
  <si>
    <t>Customer_14</t>
  </si>
  <si>
    <t>Customer_16</t>
  </si>
  <si>
    <t>Customer_17</t>
  </si>
  <si>
    <t>Customer_26</t>
  </si>
  <si>
    <t>Customer_49</t>
  </si>
  <si>
    <t>Customer_47</t>
  </si>
  <si>
    <t>Customer_43</t>
  </si>
  <si>
    <t>Customer_23</t>
  </si>
  <si>
    <t>Customer_22</t>
  </si>
  <si>
    <t>Customer_6</t>
  </si>
  <si>
    <t>Customer_3</t>
  </si>
  <si>
    <t>Customer_30</t>
  </si>
  <si>
    <t>Customer_10</t>
  </si>
  <si>
    <t>Customer_18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</si>
</sst>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Aptos Narrow"/>
      <family val="2"/>
      <scheme val="minor"/>
    </font>
    <font>
      <b/>
      <sz val="11"/>
      <color theme="1"/>
      <name val="Aptos Narrow"/>
      <family val="2"/>
      <scheme val="minor"/>
    </font>
    <font>
      <sz val="12"/>
      <color rgb="FFFF0000"/>
      <name val="Aptos Narrow"/>
      <family val="2"/>
      <scheme val="minor"/>
    </font>
    <font>
      <sz val="12"/>
      <color rgb="FFFF0000"/>
      <name val="Algerian"/>
      <family val="5"/>
    </font>
    <font>
      <b/>
      <sz val="12"/>
      <color rgb="FFFF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7" tint="-0.249977111117893"/>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horizontal="center"/>
    </xf>
    <xf numFmtId="0" fontId="0" fillId="0" borderId="0" xfId="0" applyAlignment="1">
      <alignment horizontal="left"/>
    </xf>
    <xf numFmtId="0" fontId="3" fillId="2" borderId="0" xfId="0" applyFont="1" applyFill="1"/>
    <xf numFmtId="0" fontId="4" fillId="2" borderId="0" xfId="0" applyFont="1" applyFill="1"/>
    <xf numFmtId="0" fontId="0" fillId="3" borderId="0" xfId="0" applyFill="1"/>
    <xf numFmtId="0" fontId="0" fillId="0" borderId="0" xfId="0" pivotButton="1"/>
    <xf numFmtId="0" fontId="0" fillId="0" borderId="0" xfId="0" applyNumberFormat="1"/>
    <xf numFmtId="0" fontId="1"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[Sales_Dashboard.xlsx]Sales_Dataset!PivotTable1</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Sales_Dataset!$N$2</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Sales_Dataset!$M$3:$M$7</c:f>
              <c:strCache>
                <c:ptCount val="4"/>
                <c:pt idx="0">
                  <c:v>East</c:v>
                </c:pt>
                <c:pt idx="1">
                  <c:v>North</c:v>
                </c:pt>
                <c:pt idx="2">
                  <c:v>south</c:v>
                </c:pt>
                <c:pt idx="3">
                  <c:v>West</c:v>
                </c:pt>
              </c:strCache>
            </c:strRef>
          </c:cat>
          <c:val>
            <c:numRef>
              <c:f>Sales_Dataset!$N$3:$N$7</c:f>
              <c:numCache>
                <c:formatCode>General</c:formatCode>
                <c:ptCount val="4"/>
                <c:pt idx="0">
                  <c:v>3268000</c:v>
                </c:pt>
                <c:pt idx="1">
                  <c:v>1338000</c:v>
                </c:pt>
                <c:pt idx="2">
                  <c:v>3288000</c:v>
                </c:pt>
                <c:pt idx="3">
                  <c:v>885000</c:v>
                </c:pt>
              </c:numCache>
            </c:numRef>
          </c:val>
          <c:extLst>
            <c:ext xmlns:c16="http://schemas.microsoft.com/office/drawing/2014/chart" uri="{C3380CC4-5D6E-409C-BE32-E72D297353CC}">
              <c16:uniqueId val="{00000000-389A-4E91-969C-07DC098D87D5}"/>
            </c:ext>
          </c:extLst>
        </c:ser>
        <c:dLbls>
          <c:dLblPos val="outEnd"/>
          <c:showLegendKey val="0"/>
          <c:showVal val="1"/>
          <c:showCatName val="0"/>
          <c:showSerName val="0"/>
          <c:showPercent val="0"/>
          <c:showBubbleSize val="0"/>
        </c:dLbls>
        <c:gapWidth val="355"/>
        <c:overlap val="-70"/>
        <c:axId val="323065616"/>
        <c:axId val="323063216"/>
      </c:barChart>
      <c:catAx>
        <c:axId val="32306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323063216"/>
        <c:crosses val="autoZero"/>
        <c:auto val="1"/>
        <c:lblAlgn val="ctr"/>
        <c:lblOffset val="100"/>
        <c:noMultiLvlLbl val="0"/>
      </c:catAx>
      <c:valAx>
        <c:axId val="32306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32306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[Sales_Dashboard.xlsx]Sales_Dataset!PivotTable2</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AVERAGE 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Sales_Dataset!$N$10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Sales_Dataset!$M$11:$M$15</c:f>
              <c:strCache>
                <c:ptCount val="4"/>
                <c:pt idx="0">
                  <c:v>East</c:v>
                </c:pt>
                <c:pt idx="1">
                  <c:v>North</c:v>
                </c:pt>
                <c:pt idx="2">
                  <c:v>south</c:v>
                </c:pt>
                <c:pt idx="3">
                  <c:v>West</c:v>
                </c:pt>
              </c:strCache>
            </c:strRef>
          </c:cat>
          <c:val>
            <c:numRef>
              <c:f>Sales_Dataset!$N$11:$N$15</c:f>
              <c:numCache>
                <c:formatCode>General</c:formatCode>
                <c:ptCount val="4"/>
                <c:pt idx="0">
                  <c:v>1634000</c:v>
                </c:pt>
                <c:pt idx="1">
                  <c:v>669000</c:v>
                </c:pt>
                <c:pt idx="2">
                  <c:v>1644000</c:v>
                </c:pt>
                <c:pt idx="3">
                  <c:v>442500</c:v>
                </c:pt>
              </c:numCache>
            </c:numRef>
          </c:val>
          <c:extLst>
            <c:ext xmlns:c16="http://schemas.microsoft.com/office/drawing/2014/chart" uri="{C3380CC4-5D6E-409C-BE32-E72D297353CC}">
              <c16:uniqueId val="{00000000-2FB1-4052-9A00-7F563E6291F9}"/>
            </c:ext>
          </c:extLst>
        </c:ser>
        <c:dLbls>
          <c:dLblPos val="outEnd"/>
          <c:showLegendKey val="0"/>
          <c:showVal val="1"/>
          <c:showCatName val="0"/>
          <c:showSerName val="0"/>
          <c:showPercent val="0"/>
          <c:showBubbleSize val="0"/>
        </c:dLbls>
        <c:gapWidth val="355"/>
        <c:overlap val="-70"/>
        <c:axId val="628821968"/>
        <c:axId val="628834448"/>
      </c:barChart>
      <c:catAx>
        <c:axId val="62882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628834448"/>
        <c:crosses val="autoZero"/>
        <c:auto val="1"/>
        <c:lblAlgn val="ctr"/>
        <c:lblOffset val="100"/>
        <c:noMultiLvlLbl val="0"/>
      </c:catAx>
      <c:valAx>
        <c:axId val="62883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62882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[Sales_Dashboard.xlsx]Sales_Dataset!PivotTable3</c:name>
    <c:fmtId val="12"/>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US" sz="1080" b="1" i="0" u="none" strike="noStrike" baseline="0">
                <a:effectLst/>
              </a:rPr>
              <a:t>SALES BY CATEGORY</a:t>
            </a:r>
            <a:r>
              <a:rPr lang="en-US" sz="1080" b="0" i="0" u="none" strike="noStrike" baseline="0"/>
              <a:t> </a:t>
            </a:r>
            <a:endParaRPr lang="en-US"/>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hade val="76000"/>
            </a:schemeClr>
          </a:solidFill>
          <a:ln w="19050">
            <a:solidFill>
              <a:schemeClr val="lt1"/>
            </a:solidFill>
          </a:ln>
          <a:effectLst/>
        </c:spPr>
        <c:dLbl>
          <c:idx val="0"/>
          <c:layout>
            <c:manualLayout>
              <c:x val="0.1111111111111111"/>
              <c:y val="-7.407407407407407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3">
              <a:tint val="77000"/>
            </a:schemeClr>
          </a:solidFill>
          <a:ln w="19050">
            <a:solidFill>
              <a:schemeClr val="lt1"/>
            </a:solidFill>
          </a:ln>
          <a:effectLst/>
        </c:spPr>
        <c:dLbl>
          <c:idx val="0"/>
          <c:layout>
            <c:manualLayout>
              <c:x val="-0.10833333333333335"/>
              <c:y val="8.3333333333333162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3">
              <a:shade val="76000"/>
            </a:schemeClr>
          </a:solidFill>
          <a:ln w="19050">
            <a:solidFill>
              <a:schemeClr val="lt1"/>
            </a:solidFill>
          </a:ln>
          <a:effectLst/>
        </c:spPr>
        <c:dLbl>
          <c:idx val="0"/>
          <c:layout>
            <c:manualLayout>
              <c:x val="0.1111111111111111"/>
              <c:y val="-7.407407407407407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3">
              <a:tint val="77000"/>
            </a:schemeClr>
          </a:solidFill>
          <a:ln w="19050">
            <a:solidFill>
              <a:schemeClr val="lt1"/>
            </a:solidFill>
          </a:ln>
          <a:effectLst/>
        </c:spPr>
        <c:dLbl>
          <c:idx val="0"/>
          <c:layout>
            <c:manualLayout>
              <c:x val="-0.10833333333333335"/>
              <c:y val="8.3333333333333162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Sales_Dataset!$N$18</c:f>
              <c:strCache>
                <c:ptCount val="1"/>
                <c:pt idx="0">
                  <c:v>Total</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7385-43B8-B232-53F4F9AE9F9E}"/>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7385-43B8-B232-53F4F9AE9F9E}"/>
              </c:ext>
            </c:extLst>
          </c:dPt>
          <c:dLbls>
            <c:dLbl>
              <c:idx val="0"/>
              <c:layout>
                <c:manualLayout>
                  <c:x val="0.1111111111111111"/>
                  <c:y val="-7.40740740740740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385-43B8-B232-53F4F9AE9F9E}"/>
                </c:ext>
              </c:extLst>
            </c:dLbl>
            <c:dLbl>
              <c:idx val="1"/>
              <c:layout>
                <c:manualLayout>
                  <c:x val="-0.10833333333333335"/>
                  <c:y val="8.333333333333316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385-43B8-B232-53F4F9AE9F9E}"/>
                </c:ext>
              </c:extLst>
            </c:dLbl>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Sales_Dataset!$M$19:$M$21</c:f>
              <c:strCache>
                <c:ptCount val="2"/>
                <c:pt idx="0">
                  <c:v>Accessories</c:v>
                </c:pt>
                <c:pt idx="1">
                  <c:v>Electronics</c:v>
                </c:pt>
              </c:strCache>
            </c:strRef>
          </c:cat>
          <c:val>
            <c:numRef>
              <c:f>Sales_Dataset!$N$19:$N$21</c:f>
              <c:numCache>
                <c:formatCode>General</c:formatCode>
                <c:ptCount val="2"/>
                <c:pt idx="0">
                  <c:v>2678000</c:v>
                </c:pt>
                <c:pt idx="1">
                  <c:v>6101000</c:v>
                </c:pt>
              </c:numCache>
            </c:numRef>
          </c:val>
          <c:extLst>
            <c:ext xmlns:c16="http://schemas.microsoft.com/office/drawing/2014/chart" uri="{C3380CC4-5D6E-409C-BE32-E72D297353CC}">
              <c16:uniqueId val="{00000004-7385-43B8-B232-53F4F9AE9F9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[Sales_Dashboard.xlsx]Sales_Dataset!PivotTable4</c:name>
    <c:fmtId val="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b="1" i="0" u="none" strike="noStrike" cap="all" baseline="0">
                <a:effectLst/>
              </a:rPr>
              <a:t>TOP PRODUCT BY SALES</a:t>
            </a:r>
            <a:r>
              <a:rPr lang="en-US" sz="1800" b="1" i="0" u="none" strike="noStrike" cap="all"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Sales_Dataset!$N$24</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Sales_Dataset!$M$25:$M$30</c:f>
              <c:strCache>
                <c:ptCount val="5"/>
                <c:pt idx="0">
                  <c:v>Headphones</c:v>
                </c:pt>
                <c:pt idx="1">
                  <c:v>laptop</c:v>
                </c:pt>
                <c:pt idx="2">
                  <c:v>Monitor</c:v>
                </c:pt>
                <c:pt idx="3">
                  <c:v>Phone</c:v>
                </c:pt>
                <c:pt idx="4">
                  <c:v>Tablet</c:v>
                </c:pt>
              </c:strCache>
            </c:strRef>
          </c:cat>
          <c:val>
            <c:numRef>
              <c:f>Sales_Dataset!$N$25:$N$30</c:f>
              <c:numCache>
                <c:formatCode>General</c:formatCode>
                <c:ptCount val="5"/>
                <c:pt idx="0">
                  <c:v>1010000</c:v>
                </c:pt>
                <c:pt idx="1">
                  <c:v>2140000</c:v>
                </c:pt>
                <c:pt idx="2">
                  <c:v>3137000</c:v>
                </c:pt>
                <c:pt idx="3">
                  <c:v>1195000</c:v>
                </c:pt>
                <c:pt idx="4">
                  <c:v>1297000</c:v>
                </c:pt>
              </c:numCache>
            </c:numRef>
          </c:val>
          <c:extLst>
            <c:ext xmlns:c16="http://schemas.microsoft.com/office/drawing/2014/chart" uri="{C3380CC4-5D6E-409C-BE32-E72D297353CC}">
              <c16:uniqueId val="{00000000-8426-4705-BF04-0726B41FCF39}"/>
            </c:ext>
          </c:extLst>
        </c:ser>
        <c:dLbls>
          <c:dLblPos val="outEnd"/>
          <c:showLegendKey val="0"/>
          <c:showVal val="1"/>
          <c:showCatName val="0"/>
          <c:showSerName val="0"/>
          <c:showPercent val="0"/>
          <c:showBubbleSize val="0"/>
        </c:dLbls>
        <c:gapWidth val="326"/>
        <c:overlap val="-58"/>
        <c:axId val="628828688"/>
        <c:axId val="628829648"/>
      </c:barChart>
      <c:catAx>
        <c:axId val="62882868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628829648"/>
        <c:crosses val="autoZero"/>
        <c:auto val="1"/>
        <c:lblAlgn val="ctr"/>
        <c:lblOffset val="100"/>
        <c:noMultiLvlLbl val="0"/>
      </c:catAx>
      <c:valAx>
        <c:axId val="628829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Constantia" panose="02030602050306030303" pitchFamily="18" charset="0"/>
                <a:ea typeface="+mn-ea"/>
                <a:cs typeface="+mn-cs"/>
              </a:defRPr>
            </a:pPr>
            <a:endParaRPr lang="en-US"/>
          </a:p>
        </c:txPr>
        <c:crossAx val="628828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[Sales_Dashboard.xlsx]Sales_Dataset!PivotTable5</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effectLst/>
              </a:rPr>
              <a:t>MONTHLY SALES TREND</a:t>
            </a:r>
            <a:r>
              <a:rPr lang="en-US" sz="1600" b="1" i="0" u="none" strike="noStrike"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Sales_Dataset!$N$33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Sales_Dataset!$M$34:$M$46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Sales_Dataset!$N$34:$N$46</c:f>
              <c:numCache>
                <c:formatCode>General</c:formatCode>
                <c:ptCount val="12"/>
                <c:pt idx="0">
                  <c:v>695000</c:v>
                </c:pt>
                <c:pt idx="1">
                  <c:v>993000</c:v>
                </c:pt>
                <c:pt idx="2">
                  <c:v>966000</c:v>
                </c:pt>
                <c:pt idx="3">
                  <c:v>872000</c:v>
                </c:pt>
                <c:pt idx="4">
                  <c:v>771000</c:v>
                </c:pt>
                <c:pt idx="5">
                  <c:v>602000</c:v>
                </c:pt>
                <c:pt idx="6">
                  <c:v>544000</c:v>
                </c:pt>
                <c:pt idx="7">
                  <c:v>708000</c:v>
                </c:pt>
                <c:pt idx="8">
                  <c:v>690000</c:v>
                </c:pt>
                <c:pt idx="9">
                  <c:v>468000</c:v>
                </c:pt>
                <c:pt idx="10">
                  <c:v>565000</c:v>
                </c:pt>
                <c:pt idx="11">
                  <c:v>905000</c:v>
                </c:pt>
              </c:numCache>
            </c:numRef>
          </c:val>
          <c:smooth val="0"/>
          <c:extLst>
            <c:ext xmlns:c16="http://schemas.microsoft.com/office/drawing/2014/chart" uri="{C3380CC4-5D6E-409C-BE32-E72D297353CC}">
              <c16:uniqueId val="{00000000-2BDB-44A3-83DF-3C0816910D62}"/>
            </c:ext>
          </c:extLst>
        </c:ser>
        <c:dLbls>
          <c:dLblPos val="t"/>
          <c:showLegendKey val="0"/>
          <c:showVal val="1"/>
          <c:showCatName val="0"/>
          <c:showSerName val="0"/>
          <c:showPercent val="0"/>
          <c:showBubbleSize val="0"/>
        </c:dLbls>
        <c:marker val="1"/>
        <c:smooth val="0"/>
        <c:axId val="676622512"/>
        <c:axId val="676626352"/>
      </c:lineChart>
      <c:catAx>
        <c:axId val="6766225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676626352"/>
        <c:crosses val="autoZero"/>
        <c:auto val="1"/>
        <c:lblAlgn val="ctr"/>
        <c:lblOffset val="100"/>
        <c:noMultiLvlLbl val="0"/>
      </c:catAx>
      <c:valAx>
        <c:axId val="676626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676622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[Sales_Dashboard.xlsx]Sales_Dataset!PivotTable6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QUANTITY SOLD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tantia" panose="0203060205030603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tantia" panose="0203060205030603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Sales_Dataset!$N$49</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tantia" panose="020306020503060303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Sales_Dataset!$M$50:$M$52</c:f>
              <c:strCache>
                <c:ptCount val="2"/>
                <c:pt idx="0">
                  <c:v>Accessories</c:v>
                </c:pt>
                <c:pt idx="1">
                  <c:v>Electronics</c:v>
                </c:pt>
              </c:strCache>
            </c:strRef>
          </c:cat>
          <c:val>
            <c:numRef>
              <c:f>Sales_Dataset!$N$50:$N$52</c:f>
              <c:numCache>
                <c:formatCode>General</c:formatCode>
                <c:ptCount val="2"/>
                <c:pt idx="0">
                  <c:v>227</c:v>
                </c:pt>
                <c:pt idx="1">
                  <c:v>493</c:v>
                </c:pt>
              </c:numCache>
            </c:numRef>
          </c:val>
          <c:extLst>
            <c:ext xmlns:c16="http://schemas.microsoft.com/office/drawing/2014/chart" uri="{C3380CC4-5D6E-409C-BE32-E72D297353CC}">
              <c16:uniqueId val="{00000000-7A4B-401D-A485-972780242EF9}"/>
            </c:ext>
          </c:extLst>
        </c:ser>
        <c:dLbls>
          <c:dLblPos val="inEnd"/>
          <c:showLegendKey val="0"/>
          <c:showVal val="1"/>
          <c:showCatName val="0"/>
          <c:showSerName val="0"/>
          <c:showPercent val="0"/>
          <c:showBubbleSize val="0"/>
        </c:dLbls>
        <c:gapWidth val="150"/>
        <c:overlap val="100"/>
        <c:axId val="733423088"/>
        <c:axId val="733414448"/>
      </c:barChart>
      <c:catAx>
        <c:axId val="73342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733414448"/>
        <c:crosses val="autoZero"/>
        <c:auto val="1"/>
        <c:lblAlgn val="ctr"/>
        <c:lblOffset val="100"/>
        <c:noMultiLvlLbl val="0"/>
      </c:catAx>
      <c:valAx>
        <c:axId val="73341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73342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[Sales_Dashboard.xlsx]Sales_Dataset!PivotTable7</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PRODUCT WISE QUANTITY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Sales_Dataset!$N$55</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Sales_Dataset!$M$56:$M$61</c:f>
              <c:strCache>
                <c:ptCount val="5"/>
                <c:pt idx="0">
                  <c:v>Headphones</c:v>
                </c:pt>
                <c:pt idx="1">
                  <c:v>laptop</c:v>
                </c:pt>
                <c:pt idx="2">
                  <c:v>Monitor</c:v>
                </c:pt>
                <c:pt idx="3">
                  <c:v>Phone</c:v>
                </c:pt>
                <c:pt idx="4">
                  <c:v>Tablet</c:v>
                </c:pt>
              </c:strCache>
            </c:strRef>
          </c:cat>
          <c:val>
            <c:numRef>
              <c:f>Sales_Dataset!$N$56:$N$61</c:f>
              <c:numCache>
                <c:formatCode>General</c:formatCode>
                <c:ptCount val="5"/>
                <c:pt idx="0">
                  <c:v>95</c:v>
                </c:pt>
                <c:pt idx="1">
                  <c:v>172</c:v>
                </c:pt>
                <c:pt idx="2">
                  <c:v>259</c:v>
                </c:pt>
                <c:pt idx="3">
                  <c:v>85</c:v>
                </c:pt>
                <c:pt idx="4">
                  <c:v>109</c:v>
                </c:pt>
              </c:numCache>
            </c:numRef>
          </c:val>
          <c:extLst>
            <c:ext xmlns:c16="http://schemas.microsoft.com/office/drawing/2014/chart" uri="{C3380CC4-5D6E-409C-BE32-E72D297353CC}">
              <c16:uniqueId val="{00000000-45A1-4E5B-80C7-530455FDED7B}"/>
            </c:ext>
          </c:extLst>
        </c:ser>
        <c:dLbls>
          <c:dLblPos val="outEnd"/>
          <c:showLegendKey val="0"/>
          <c:showVal val="1"/>
          <c:showCatName val="0"/>
          <c:showSerName val="0"/>
          <c:showPercent val="0"/>
          <c:showBubbleSize val="0"/>
        </c:dLbls>
        <c:gapWidth val="326"/>
        <c:overlap val="-58"/>
        <c:axId val="733418288"/>
        <c:axId val="733418768"/>
      </c:barChart>
      <c:catAx>
        <c:axId val="73341828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733418768"/>
        <c:crosses val="autoZero"/>
        <c:auto val="1"/>
        <c:lblAlgn val="ctr"/>
        <c:lblOffset val="100"/>
        <c:noMultiLvlLbl val="0"/>
      </c:catAx>
      <c:valAx>
        <c:axId val="733418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73341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[Sales_Dashboard.xlsx]Sales_Dataset!PivotTable8</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b="1" i="0" u="none" strike="noStrike" cap="all" baseline="0">
                <a:effectLst/>
              </a:rPr>
              <a:t>TOP CUSTOMERS BY SALES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4">
                  <a:alpha val="0"/>
                </a:schemeClr>
              </a:gs>
              <a:gs pos="50000">
                <a:schemeClr val="accent4"/>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4">
                  <a:alpha val="0"/>
                </a:schemeClr>
              </a:gs>
              <a:gs pos="50000">
                <a:schemeClr val="accent4"/>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Sales_Dataset!$N$64</c:f>
              <c:strCache>
                <c:ptCount val="1"/>
                <c:pt idx="0">
                  <c:v>Total</c:v>
                </c:pt>
              </c:strCache>
            </c:strRef>
          </c:tx>
          <c:spPr>
            <a:gradFill flip="none" rotWithShape="1">
              <a:gsLst>
                <a:gs pos="100000">
                  <a:schemeClr val="accent4">
                    <a:alpha val="0"/>
                  </a:schemeClr>
                </a:gs>
                <a:gs pos="50000">
                  <a:schemeClr val="accent4"/>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Sales_Dataset!$M$65:$M$75</c:f>
              <c:strCache>
                <c:ptCount val="10"/>
                <c:pt idx="0">
                  <c:v>Customer_12</c:v>
                </c:pt>
                <c:pt idx="1">
                  <c:v>Customer_16</c:v>
                </c:pt>
                <c:pt idx="2">
                  <c:v>Customer_17</c:v>
                </c:pt>
                <c:pt idx="3">
                  <c:v>Customer_2</c:v>
                </c:pt>
                <c:pt idx="4">
                  <c:v>Customer_26</c:v>
                </c:pt>
                <c:pt idx="5">
                  <c:v>Customer_27</c:v>
                </c:pt>
                <c:pt idx="6">
                  <c:v>Customer_31</c:v>
                </c:pt>
                <c:pt idx="7">
                  <c:v>Customer_35</c:v>
                </c:pt>
                <c:pt idx="8">
                  <c:v>Customer_44</c:v>
                </c:pt>
                <c:pt idx="9">
                  <c:v>Customer_49</c:v>
                </c:pt>
              </c:strCache>
            </c:strRef>
          </c:cat>
          <c:val>
            <c:numRef>
              <c:f>Sales_Dataset!$N$65:$N$75</c:f>
              <c:numCache>
                <c:formatCode>General</c:formatCode>
                <c:ptCount val="10"/>
                <c:pt idx="0">
                  <c:v>335000</c:v>
                </c:pt>
                <c:pt idx="1">
                  <c:v>280000</c:v>
                </c:pt>
                <c:pt idx="2">
                  <c:v>255000</c:v>
                </c:pt>
                <c:pt idx="3">
                  <c:v>370000</c:v>
                </c:pt>
                <c:pt idx="4">
                  <c:v>270000</c:v>
                </c:pt>
                <c:pt idx="5">
                  <c:v>285000</c:v>
                </c:pt>
                <c:pt idx="6">
                  <c:v>348000</c:v>
                </c:pt>
                <c:pt idx="7">
                  <c:v>965000</c:v>
                </c:pt>
                <c:pt idx="8">
                  <c:v>318000</c:v>
                </c:pt>
                <c:pt idx="9">
                  <c:v>355000</c:v>
                </c:pt>
              </c:numCache>
            </c:numRef>
          </c:val>
          <c:extLst>
            <c:ext xmlns:c16="http://schemas.microsoft.com/office/drawing/2014/chart" uri="{C3380CC4-5D6E-409C-BE32-E72D297353CC}">
              <c16:uniqueId val="{00000000-39BC-4D5E-9EF8-E8996D3CD941}"/>
            </c:ext>
          </c:extLst>
        </c:ser>
        <c:dLbls>
          <c:showLegendKey val="0"/>
          <c:showVal val="1"/>
          <c:showCatName val="0"/>
          <c:showSerName val="0"/>
          <c:showPercent val="0"/>
          <c:showBubbleSize val="0"/>
        </c:dLbls>
        <c:gapWidth val="150"/>
        <c:gapDepth val="0"/>
        <c:shape val="box"/>
        <c:axId val="686714144"/>
        <c:axId val="686702624"/>
        <c:axId val="0"/>
      </c:bar3DChart>
      <c:catAx>
        <c:axId val="68671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686702624"/>
        <c:crosses val="autoZero"/>
        <c:auto val="1"/>
        <c:lblAlgn val="ctr"/>
        <c:lblOffset val="100"/>
        <c:noMultiLvlLbl val="0"/>
      </c:catAx>
      <c:valAx>
        <c:axId val="686702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68671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[Sales_Dashboard.xlsx]Sales_Dataset!PivotTable1</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latin typeface="Constantia" panose="02030602050306030303" pitchFamily="18" charset="0"/>
              </a:rPr>
              <a:t>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Sales_Dataset!$N$2</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Sales_Dataset!$M$3:$M$7</c:f>
              <c:strCache>
                <c:ptCount val="4"/>
                <c:pt idx="0">
                  <c:v>East</c:v>
                </c:pt>
                <c:pt idx="1">
                  <c:v>North</c:v>
                </c:pt>
                <c:pt idx="2">
                  <c:v>south</c:v>
                </c:pt>
                <c:pt idx="3">
                  <c:v>West</c:v>
                </c:pt>
              </c:strCache>
            </c:strRef>
          </c:cat>
          <c:val>
            <c:numRef>
              <c:f>Sales_Dataset!$N$3:$N$7</c:f>
              <c:numCache>
                <c:formatCode>General</c:formatCode>
                <c:ptCount val="4"/>
                <c:pt idx="0">
                  <c:v>3268000</c:v>
                </c:pt>
                <c:pt idx="1">
                  <c:v>1338000</c:v>
                </c:pt>
                <c:pt idx="2">
                  <c:v>3288000</c:v>
                </c:pt>
                <c:pt idx="3">
                  <c:v>885000</c:v>
                </c:pt>
              </c:numCache>
            </c:numRef>
          </c:val>
          <c:extLst>
            <c:ext xmlns:c16="http://schemas.microsoft.com/office/drawing/2014/chart" uri="{C3380CC4-5D6E-409C-BE32-E72D297353CC}">
              <c16:uniqueId val="{00000000-E86E-448B-8789-1825D4507E3F}"/>
            </c:ext>
          </c:extLst>
        </c:ser>
        <c:dLbls>
          <c:dLblPos val="outEnd"/>
          <c:showLegendKey val="0"/>
          <c:showVal val="1"/>
          <c:showCatName val="0"/>
          <c:showSerName val="0"/>
          <c:showPercent val="0"/>
          <c:showBubbleSize val="0"/>
        </c:dLbls>
        <c:gapWidth val="355"/>
        <c:overlap val="-70"/>
        <c:axId val="323065616"/>
        <c:axId val="323063216"/>
      </c:barChart>
      <c:catAx>
        <c:axId val="32306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323063216"/>
        <c:crosses val="autoZero"/>
        <c:auto val="1"/>
        <c:lblAlgn val="ctr"/>
        <c:lblOffset val="100"/>
        <c:noMultiLvlLbl val="0"/>
      </c:catAx>
      <c:valAx>
        <c:axId val="32306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32306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[Sales_Dashboard.xlsx]Sales_Dataset!PivotTable2</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Constantia" panose="02030602050306030303" pitchFamily="18" charset="0"/>
                <a:ea typeface="+mn-ea"/>
                <a:cs typeface="+mn-cs"/>
              </a:defRPr>
            </a:pPr>
            <a:r>
              <a:rPr lang="en-US" sz="1400">
                <a:latin typeface="Constantia" panose="02030602050306030303" pitchFamily="18" charset="0"/>
              </a:rPr>
              <a:t>AVERAGE SALES BY REGION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Constantia" panose="02030602050306030303" pitchFamily="18" charset="0"/>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Sales_Dataset!$N$10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Sales_Dataset!$M$11:$M$15</c:f>
              <c:strCache>
                <c:ptCount val="4"/>
                <c:pt idx="0">
                  <c:v>East</c:v>
                </c:pt>
                <c:pt idx="1">
                  <c:v>North</c:v>
                </c:pt>
                <c:pt idx="2">
                  <c:v>south</c:v>
                </c:pt>
                <c:pt idx="3">
                  <c:v>West</c:v>
                </c:pt>
              </c:strCache>
            </c:strRef>
          </c:cat>
          <c:val>
            <c:numRef>
              <c:f>Sales_Dataset!$N$11:$N$15</c:f>
              <c:numCache>
                <c:formatCode>General</c:formatCode>
                <c:ptCount val="4"/>
                <c:pt idx="0">
                  <c:v>1634000</c:v>
                </c:pt>
                <c:pt idx="1">
                  <c:v>669000</c:v>
                </c:pt>
                <c:pt idx="2">
                  <c:v>1644000</c:v>
                </c:pt>
                <c:pt idx="3">
                  <c:v>442500</c:v>
                </c:pt>
              </c:numCache>
            </c:numRef>
          </c:val>
          <c:extLst>
            <c:ext xmlns:c16="http://schemas.microsoft.com/office/drawing/2014/chart" uri="{C3380CC4-5D6E-409C-BE32-E72D297353CC}">
              <c16:uniqueId val="{00000000-43CE-4FFD-9F71-ABBF1EFF4F88}"/>
            </c:ext>
          </c:extLst>
        </c:ser>
        <c:dLbls>
          <c:dLblPos val="outEnd"/>
          <c:showLegendKey val="0"/>
          <c:showVal val="1"/>
          <c:showCatName val="0"/>
          <c:showSerName val="0"/>
          <c:showPercent val="0"/>
          <c:showBubbleSize val="0"/>
        </c:dLbls>
        <c:gapWidth val="355"/>
        <c:overlap val="-70"/>
        <c:axId val="628821968"/>
        <c:axId val="628834448"/>
      </c:barChart>
      <c:catAx>
        <c:axId val="62882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628834448"/>
        <c:crosses val="autoZero"/>
        <c:auto val="1"/>
        <c:lblAlgn val="ctr"/>
        <c:lblOffset val="100"/>
        <c:noMultiLvlLbl val="0"/>
      </c:catAx>
      <c:valAx>
        <c:axId val="62883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62882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[Sales_Dashboard.xlsx]Sales_Dataset!PivotTable3</c:name>
    <c:fmtId val="13"/>
  </c:pivotSource>
  <c:chart>
    <c:title>
      <c:tx>
        <c:rich>
          <a:bodyPr rot="0" spcFirstLastPara="1" vertOverflow="ellipsis" vert="horz" wrap="square" anchor="ctr" anchorCtr="1"/>
          <a:lstStyle/>
          <a:p>
            <a:pPr>
              <a:defRPr lang="en-US" sz="1400" b="1" i="0" u="none" strike="noStrike" kern="1200" spc="0" baseline="0">
                <a:solidFill>
                  <a:schemeClr val="dk1"/>
                </a:solidFill>
                <a:latin typeface="Constantia" panose="02030602050306030303" pitchFamily="18" charset="0"/>
                <a:ea typeface="+mn-ea"/>
                <a:cs typeface="+mn-cs"/>
              </a:defRPr>
            </a:pPr>
            <a:r>
              <a:rPr lang="en-US" sz="1400" b="1" i="0" u="none" strike="noStrike" baseline="0">
                <a:effectLst/>
                <a:latin typeface="Constantia" panose="02030602050306030303" pitchFamily="18" charset="0"/>
              </a:rPr>
              <a:t>SALES BY CATEGORY</a:t>
            </a:r>
            <a:r>
              <a:rPr lang="en-US" sz="1400" b="1" i="0" u="none" strike="noStrike" baseline="0">
                <a:latin typeface="Constantia" panose="02030602050306030303" pitchFamily="18" charset="0"/>
              </a:rPr>
              <a:t> </a:t>
            </a:r>
            <a:endParaRPr lang="en-US" sz="1400" b="1">
              <a:latin typeface="Constantia" panose="02030602050306030303" pitchFamily="18" charset="0"/>
            </a:endParaRP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dk1"/>
              </a:solidFill>
              <a:latin typeface="Constantia" panose="02030602050306030303" pitchFamily="18" charset="0"/>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hade val="76000"/>
            </a:schemeClr>
          </a:solidFill>
          <a:ln w="19050">
            <a:solidFill>
              <a:schemeClr val="lt1"/>
            </a:solidFill>
          </a:ln>
          <a:effectLst/>
        </c:spPr>
        <c:dLbl>
          <c:idx val="0"/>
          <c:layout>
            <c:manualLayout>
              <c:x val="0.1111111111111111"/>
              <c:y val="-7.407407407407407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3">
              <a:tint val="77000"/>
            </a:schemeClr>
          </a:solidFill>
          <a:ln w="19050">
            <a:solidFill>
              <a:schemeClr val="lt1"/>
            </a:solidFill>
          </a:ln>
          <a:effectLst/>
        </c:spPr>
        <c:dLbl>
          <c:idx val="0"/>
          <c:layout>
            <c:manualLayout>
              <c:x val="-0.10833333333333335"/>
              <c:y val="8.3333333333333162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3">
              <a:shade val="76000"/>
            </a:schemeClr>
          </a:solidFill>
          <a:ln w="19050">
            <a:solidFill>
              <a:schemeClr val="lt1"/>
            </a:solidFill>
          </a:ln>
          <a:effectLst/>
        </c:spPr>
        <c:dLbl>
          <c:idx val="0"/>
          <c:layout>
            <c:manualLayout>
              <c:x val="0.1111111111111111"/>
              <c:y val="-7.407407407407407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3">
              <a:tint val="77000"/>
            </a:schemeClr>
          </a:solidFill>
          <a:ln w="19050">
            <a:solidFill>
              <a:schemeClr val="lt1"/>
            </a:solidFill>
          </a:ln>
          <a:effectLst/>
        </c:spPr>
        <c:dLbl>
          <c:idx val="0"/>
          <c:layout>
            <c:manualLayout>
              <c:x val="-0.10833333333333335"/>
              <c:y val="8.3333333333333162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3">
              <a:shade val="76000"/>
            </a:schemeClr>
          </a:solidFill>
          <a:ln w="19050">
            <a:solidFill>
              <a:schemeClr val="lt1"/>
            </a:solidFill>
          </a:ln>
          <a:effectLst/>
        </c:spPr>
        <c:dLbl>
          <c:idx val="0"/>
          <c:layout>
            <c:manualLayout>
              <c:x val="0.1111111111111111"/>
              <c:y val="-7.407407407407407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3">
              <a:tint val="77000"/>
            </a:schemeClr>
          </a:solidFill>
          <a:ln w="19050">
            <a:solidFill>
              <a:schemeClr val="lt1"/>
            </a:solidFill>
          </a:ln>
          <a:effectLst/>
        </c:spPr>
        <c:dLbl>
          <c:idx val="0"/>
          <c:layout>
            <c:manualLayout>
              <c:x val="-0.10833333333333335"/>
              <c:y val="8.3333333333333162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3">
              <a:shade val="76000"/>
            </a:schemeClr>
          </a:solidFill>
          <a:ln w="19050">
            <a:solidFill>
              <a:schemeClr val="lt1"/>
            </a:solidFill>
          </a:ln>
          <a:effectLst/>
        </c:spPr>
        <c:dLbl>
          <c:idx val="0"/>
          <c:layout>
            <c:manualLayout>
              <c:x val="0.1111111111111111"/>
              <c:y val="-7.407407407407407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3">
              <a:tint val="77000"/>
            </a:schemeClr>
          </a:solidFill>
          <a:ln w="19050">
            <a:solidFill>
              <a:schemeClr val="lt1"/>
            </a:solidFill>
          </a:ln>
          <a:effectLst/>
        </c:spPr>
        <c:dLbl>
          <c:idx val="0"/>
          <c:layout>
            <c:manualLayout>
              <c:x val="-0.10833333333333335"/>
              <c:y val="8.3333333333333162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Sales_Dataset!$N$18</c:f>
              <c:strCache>
                <c:ptCount val="1"/>
                <c:pt idx="0">
                  <c:v>Total</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9E52-4D18-AA89-BC707915D85B}"/>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9E52-4D18-AA89-BC707915D85B}"/>
              </c:ext>
            </c:extLst>
          </c:dPt>
          <c:dLbls>
            <c:dLbl>
              <c:idx val="0"/>
              <c:layout>
                <c:manualLayout>
                  <c:x val="0.1111111111111111"/>
                  <c:y val="-7.40740740740740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E52-4D18-AA89-BC707915D85B}"/>
                </c:ext>
              </c:extLst>
            </c:dLbl>
            <c:dLbl>
              <c:idx val="1"/>
              <c:layout>
                <c:manualLayout>
                  <c:x val="-0.10833333333333335"/>
                  <c:y val="8.333333333333316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E52-4D18-AA89-BC707915D85B}"/>
                </c:ext>
              </c:extLst>
            </c:dLbl>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Sales_Dataset!$M$19:$M$21</c:f>
              <c:strCache>
                <c:ptCount val="2"/>
                <c:pt idx="0">
                  <c:v>Accessories</c:v>
                </c:pt>
                <c:pt idx="1">
                  <c:v>Electronics</c:v>
                </c:pt>
              </c:strCache>
            </c:strRef>
          </c:cat>
          <c:val>
            <c:numRef>
              <c:f>Sales_Dataset!$N$19:$N$21</c:f>
              <c:numCache>
                <c:formatCode>General</c:formatCode>
                <c:ptCount val="2"/>
                <c:pt idx="0">
                  <c:v>2678000</c:v>
                </c:pt>
                <c:pt idx="1">
                  <c:v>6101000</c:v>
                </c:pt>
              </c:numCache>
            </c:numRef>
          </c:val>
          <c:extLst>
            <c:ext xmlns:c16="http://schemas.microsoft.com/office/drawing/2014/chart" uri="{C3380CC4-5D6E-409C-BE32-E72D297353CC}">
              <c16:uniqueId val="{00000004-9E52-4D18-AA89-BC707915D85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Constantia" panose="020306020503060303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[Sales_Dashboard.xlsx]Sales_Dataset!PivotTable4</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Constantia" panose="02030602050306030303" pitchFamily="18" charset="0"/>
                <a:ea typeface="+mn-ea"/>
                <a:cs typeface="+mn-cs"/>
              </a:defRPr>
            </a:pPr>
            <a:r>
              <a:rPr lang="en-US" sz="1400" b="1" i="0" u="none" strike="noStrike" cap="all" baseline="0">
                <a:effectLst/>
                <a:latin typeface="Constantia" panose="02030602050306030303" pitchFamily="18" charset="0"/>
              </a:rPr>
              <a:t>TOP PRODUCT BY SALES</a:t>
            </a:r>
            <a:r>
              <a:rPr lang="en-US" sz="1400" b="1" i="0" u="none" strike="noStrike" cap="all" baseline="0">
                <a:latin typeface="Constantia" panose="02030602050306030303" pitchFamily="18" charset="0"/>
              </a:rPr>
              <a:t> </a:t>
            </a:r>
            <a:endParaRPr lang="en-US" sz="1400">
              <a:latin typeface="Constantia" panose="02030602050306030303"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Constantia" panose="02030602050306030303" pitchFamily="18" charset="0"/>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Sales_Dataset!$N$24</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Sales_Dataset!$M$25:$M$30</c:f>
              <c:strCache>
                <c:ptCount val="5"/>
                <c:pt idx="0">
                  <c:v>Headphones</c:v>
                </c:pt>
                <c:pt idx="1">
                  <c:v>laptop</c:v>
                </c:pt>
                <c:pt idx="2">
                  <c:v>Monitor</c:v>
                </c:pt>
                <c:pt idx="3">
                  <c:v>Phone</c:v>
                </c:pt>
                <c:pt idx="4">
                  <c:v>Tablet</c:v>
                </c:pt>
              </c:strCache>
            </c:strRef>
          </c:cat>
          <c:val>
            <c:numRef>
              <c:f>Sales_Dataset!$N$25:$N$30</c:f>
              <c:numCache>
                <c:formatCode>General</c:formatCode>
                <c:ptCount val="5"/>
                <c:pt idx="0">
                  <c:v>1010000</c:v>
                </c:pt>
                <c:pt idx="1">
                  <c:v>2140000</c:v>
                </c:pt>
                <c:pt idx="2">
                  <c:v>3137000</c:v>
                </c:pt>
                <c:pt idx="3">
                  <c:v>1195000</c:v>
                </c:pt>
                <c:pt idx="4">
                  <c:v>1297000</c:v>
                </c:pt>
              </c:numCache>
            </c:numRef>
          </c:val>
          <c:extLst>
            <c:ext xmlns:c16="http://schemas.microsoft.com/office/drawing/2014/chart" uri="{C3380CC4-5D6E-409C-BE32-E72D297353CC}">
              <c16:uniqueId val="{00000000-DC06-4BE3-917D-39B85D400189}"/>
            </c:ext>
          </c:extLst>
        </c:ser>
        <c:dLbls>
          <c:dLblPos val="outEnd"/>
          <c:showLegendKey val="0"/>
          <c:showVal val="1"/>
          <c:showCatName val="0"/>
          <c:showSerName val="0"/>
          <c:showPercent val="0"/>
          <c:showBubbleSize val="0"/>
        </c:dLbls>
        <c:gapWidth val="326"/>
        <c:overlap val="-58"/>
        <c:axId val="628828688"/>
        <c:axId val="628829648"/>
      </c:barChart>
      <c:catAx>
        <c:axId val="62882868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628829648"/>
        <c:crosses val="autoZero"/>
        <c:auto val="1"/>
        <c:lblAlgn val="ctr"/>
        <c:lblOffset val="100"/>
        <c:noMultiLvlLbl val="0"/>
      </c:catAx>
      <c:valAx>
        <c:axId val="628829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Constantia" panose="02030602050306030303" pitchFamily="18" charset="0"/>
                <a:ea typeface="+mn-ea"/>
                <a:cs typeface="+mn-cs"/>
              </a:defRPr>
            </a:pPr>
            <a:endParaRPr lang="en-US"/>
          </a:p>
        </c:txPr>
        <c:crossAx val="628828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[Sales_Dashboard.xlsx]Sales_Dataset!PivotTable5</c:name>
    <c:fmtId val="13"/>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Constantia" panose="02030602050306030303" pitchFamily="18" charset="0"/>
                <a:ea typeface="+mn-ea"/>
                <a:cs typeface="+mn-cs"/>
              </a:defRPr>
            </a:pPr>
            <a:r>
              <a:rPr lang="en-US" sz="1400" b="1" i="0" u="none" strike="noStrike" baseline="0">
                <a:effectLst/>
                <a:latin typeface="Constantia" panose="02030602050306030303" pitchFamily="18" charset="0"/>
              </a:rPr>
              <a:t>MONTHLY SALES TREND</a:t>
            </a:r>
            <a:r>
              <a:rPr lang="en-US" sz="1400" b="1" i="0" u="none" strike="noStrike" baseline="0">
                <a:latin typeface="Constantia" panose="02030602050306030303" pitchFamily="18" charset="0"/>
              </a:rPr>
              <a:t> </a:t>
            </a:r>
            <a:endParaRPr lang="en-US" sz="1400">
              <a:latin typeface="Constantia" panose="02030602050306030303" pitchFamily="18" charset="0"/>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Constantia" panose="02030602050306030303" pitchFamily="18" charset="0"/>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Sales_Dataset!$N$33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Sales_Dataset!$M$34:$M$46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Sales_Dataset!$N$34:$N$46</c:f>
              <c:numCache>
                <c:formatCode>General</c:formatCode>
                <c:ptCount val="12"/>
                <c:pt idx="0">
                  <c:v>695000</c:v>
                </c:pt>
                <c:pt idx="1">
                  <c:v>993000</c:v>
                </c:pt>
                <c:pt idx="2">
                  <c:v>966000</c:v>
                </c:pt>
                <c:pt idx="3">
                  <c:v>872000</c:v>
                </c:pt>
                <c:pt idx="4">
                  <c:v>771000</c:v>
                </c:pt>
                <c:pt idx="5">
                  <c:v>602000</c:v>
                </c:pt>
                <c:pt idx="6">
                  <c:v>544000</c:v>
                </c:pt>
                <c:pt idx="7">
                  <c:v>708000</c:v>
                </c:pt>
                <c:pt idx="8">
                  <c:v>690000</c:v>
                </c:pt>
                <c:pt idx="9">
                  <c:v>468000</c:v>
                </c:pt>
                <c:pt idx="10">
                  <c:v>565000</c:v>
                </c:pt>
                <c:pt idx="11">
                  <c:v>905000</c:v>
                </c:pt>
              </c:numCache>
            </c:numRef>
          </c:val>
          <c:smooth val="0"/>
          <c:extLst>
            <c:ext xmlns:c16="http://schemas.microsoft.com/office/drawing/2014/chart" uri="{C3380CC4-5D6E-409C-BE32-E72D297353CC}">
              <c16:uniqueId val="{00000000-0645-4494-84D8-A7EB3E0EA72A}"/>
            </c:ext>
          </c:extLst>
        </c:ser>
        <c:dLbls>
          <c:dLblPos val="t"/>
          <c:showLegendKey val="0"/>
          <c:showVal val="1"/>
          <c:showCatName val="0"/>
          <c:showSerName val="0"/>
          <c:showPercent val="0"/>
          <c:showBubbleSize val="0"/>
        </c:dLbls>
        <c:marker val="1"/>
        <c:smooth val="0"/>
        <c:axId val="676622512"/>
        <c:axId val="676626352"/>
      </c:lineChart>
      <c:catAx>
        <c:axId val="6766225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676626352"/>
        <c:crosses val="autoZero"/>
        <c:auto val="1"/>
        <c:lblAlgn val="ctr"/>
        <c:lblOffset val="100"/>
        <c:noMultiLvlLbl val="0"/>
      </c:catAx>
      <c:valAx>
        <c:axId val="676626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676622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[Sales_Dashboard.xlsx]Sales_Dataset!PivotTable6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nstantia" panose="02030602050306030303" pitchFamily="18" charset="0"/>
                <a:ea typeface="+mn-ea"/>
                <a:cs typeface="+mn-cs"/>
              </a:defRPr>
            </a:pPr>
            <a:r>
              <a:rPr lang="en-US" sz="1400" b="1" i="0" u="none" strike="noStrike" baseline="0">
                <a:effectLst/>
                <a:latin typeface="Constantia" panose="02030602050306030303" pitchFamily="18" charset="0"/>
              </a:rPr>
              <a:t>QUANTITY SOLD BY CATEGORY</a:t>
            </a:r>
            <a:endParaRPr lang="en-US">
              <a:latin typeface="Constantia" panose="0203060205030603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onstantia" panose="02030602050306030303" pitchFamily="18" charset="0"/>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tantia" panose="0203060205030603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tantia" panose="0203060205030603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tantia" panose="0203060205030603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tantia" panose="0203060205030603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Sales_Dataset!$N$49</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onstantia" panose="020306020503060303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Sales_Dataset!$M$50:$M$52</c:f>
              <c:strCache>
                <c:ptCount val="2"/>
                <c:pt idx="0">
                  <c:v>Accessories</c:v>
                </c:pt>
                <c:pt idx="1">
                  <c:v>Electronics</c:v>
                </c:pt>
              </c:strCache>
            </c:strRef>
          </c:cat>
          <c:val>
            <c:numRef>
              <c:f>Sales_Dataset!$N$50:$N$52</c:f>
              <c:numCache>
                <c:formatCode>General</c:formatCode>
                <c:ptCount val="2"/>
                <c:pt idx="0">
                  <c:v>227</c:v>
                </c:pt>
                <c:pt idx="1">
                  <c:v>493</c:v>
                </c:pt>
              </c:numCache>
            </c:numRef>
          </c:val>
          <c:extLst>
            <c:ext xmlns:c16="http://schemas.microsoft.com/office/drawing/2014/chart" uri="{C3380CC4-5D6E-409C-BE32-E72D297353CC}">
              <c16:uniqueId val="{00000000-3AC4-4D6F-974A-4C473AEDC3DE}"/>
            </c:ext>
          </c:extLst>
        </c:ser>
        <c:dLbls>
          <c:dLblPos val="inEnd"/>
          <c:showLegendKey val="0"/>
          <c:showVal val="1"/>
          <c:showCatName val="0"/>
          <c:showSerName val="0"/>
          <c:showPercent val="0"/>
          <c:showBubbleSize val="0"/>
        </c:dLbls>
        <c:gapWidth val="150"/>
        <c:overlap val="100"/>
        <c:axId val="733423088"/>
        <c:axId val="733414448"/>
      </c:barChart>
      <c:catAx>
        <c:axId val="73342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733414448"/>
        <c:crosses val="autoZero"/>
        <c:auto val="1"/>
        <c:lblAlgn val="ctr"/>
        <c:lblOffset val="100"/>
        <c:noMultiLvlLbl val="0"/>
      </c:catAx>
      <c:valAx>
        <c:axId val="73341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73342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[Sales_Dashboard.xlsx]Sales_Dataset!PivotTable7</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Constantia" panose="02030602050306030303" pitchFamily="18" charset="0"/>
                <a:ea typeface="+mn-ea"/>
                <a:cs typeface="+mn-cs"/>
              </a:defRPr>
            </a:pPr>
            <a:r>
              <a:rPr lang="en-US" sz="1400">
                <a:latin typeface="Constantia" panose="02030602050306030303" pitchFamily="18" charset="0"/>
              </a:rPr>
              <a:t>PRODUCT WISE QUANTITY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Constantia" panose="02030602050306030303" pitchFamily="18" charset="0"/>
              <a:ea typeface="+mn-ea"/>
              <a:cs typeface="+mn-cs"/>
            </a:defRPr>
          </a:pPr>
          <a:endParaRPr lang="en-US"/>
        </a:p>
      </c:txPr>
    </c:title>
    <c:autoTitleDeleted val="0"/>
    <c:pivotFmts>
      <c:pivotFmt>
        <c:idx val="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Sales_Dataset!$N$55</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Sales_Dataset!$M$56:$M$61</c:f>
              <c:strCache>
                <c:ptCount val="5"/>
                <c:pt idx="0">
                  <c:v>Headphones</c:v>
                </c:pt>
                <c:pt idx="1">
                  <c:v>laptop</c:v>
                </c:pt>
                <c:pt idx="2">
                  <c:v>Monitor</c:v>
                </c:pt>
                <c:pt idx="3">
                  <c:v>Phone</c:v>
                </c:pt>
                <c:pt idx="4">
                  <c:v>Tablet</c:v>
                </c:pt>
              </c:strCache>
            </c:strRef>
          </c:cat>
          <c:val>
            <c:numRef>
              <c:f>Sales_Dataset!$N$56:$N$61</c:f>
              <c:numCache>
                <c:formatCode>General</c:formatCode>
                <c:ptCount val="5"/>
                <c:pt idx="0">
                  <c:v>95</c:v>
                </c:pt>
                <c:pt idx="1">
                  <c:v>172</c:v>
                </c:pt>
                <c:pt idx="2">
                  <c:v>259</c:v>
                </c:pt>
                <c:pt idx="3">
                  <c:v>85</c:v>
                </c:pt>
                <c:pt idx="4">
                  <c:v>109</c:v>
                </c:pt>
              </c:numCache>
            </c:numRef>
          </c:val>
          <c:extLst>
            <c:ext xmlns:c16="http://schemas.microsoft.com/office/drawing/2014/chart" uri="{C3380CC4-5D6E-409C-BE32-E72D297353CC}">
              <c16:uniqueId val="{00000000-CEDC-4C1E-A08D-B59910D25DA1}"/>
            </c:ext>
          </c:extLst>
        </c:ser>
        <c:dLbls>
          <c:dLblPos val="outEnd"/>
          <c:showLegendKey val="0"/>
          <c:showVal val="1"/>
          <c:showCatName val="0"/>
          <c:showSerName val="0"/>
          <c:showPercent val="0"/>
          <c:showBubbleSize val="0"/>
        </c:dLbls>
        <c:gapWidth val="326"/>
        <c:overlap val="-58"/>
        <c:axId val="733418288"/>
        <c:axId val="733418768"/>
      </c:barChart>
      <c:catAx>
        <c:axId val="73341828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733418768"/>
        <c:crosses val="autoZero"/>
        <c:auto val="1"/>
        <c:lblAlgn val="ctr"/>
        <c:lblOffset val="100"/>
        <c:noMultiLvlLbl val="0"/>
      </c:catAx>
      <c:valAx>
        <c:axId val="733418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73341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[Sales_Dashboard.xlsx]Sales_Dataset!PivotTable8</c:name>
    <c:fmtId val="1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Constantia" panose="02030602050306030303" pitchFamily="18" charset="0"/>
                <a:ea typeface="+mn-ea"/>
                <a:cs typeface="+mn-cs"/>
              </a:defRPr>
            </a:pPr>
            <a:r>
              <a:rPr lang="en-US" sz="1400" b="1" i="0" u="none" strike="noStrike" cap="all" baseline="0">
                <a:effectLst/>
                <a:latin typeface="Constantia" panose="02030602050306030303" pitchFamily="18" charset="0"/>
              </a:rPr>
              <a:t>TOP CUSTOMERS BY SALES</a:t>
            </a:r>
            <a:endParaRPr lang="en-US" sz="1400">
              <a:latin typeface="Constantia" panose="02030602050306030303"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Constantia" panose="02030602050306030303" pitchFamily="18" charset="0"/>
              <a:ea typeface="+mn-ea"/>
              <a:cs typeface="+mn-cs"/>
            </a:defRPr>
          </a:pPr>
          <a:endParaRPr lang="en-US"/>
        </a:p>
      </c:txPr>
    </c:title>
    <c:autoTitleDeleted val="0"/>
    <c:pivotFmts>
      <c:pivotFmt>
        <c:idx val="0"/>
        <c:spPr>
          <a:gradFill flip="none" rotWithShape="1">
            <a:gsLst>
              <a:gs pos="100000">
                <a:schemeClr val="accent4">
                  <a:alpha val="0"/>
                </a:schemeClr>
              </a:gs>
              <a:gs pos="50000">
                <a:schemeClr val="accent4"/>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4">
                  <a:alpha val="0"/>
                </a:schemeClr>
              </a:gs>
              <a:gs pos="50000">
                <a:schemeClr val="accent4"/>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Sales_Dataset!$N$64</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nstantia" panose="0203060205030603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Sales_Dataset!$M$65:$M$75</c:f>
              <c:strCache>
                <c:ptCount val="10"/>
                <c:pt idx="0">
                  <c:v>Customer_12</c:v>
                </c:pt>
                <c:pt idx="1">
                  <c:v>Customer_16</c:v>
                </c:pt>
                <c:pt idx="2">
                  <c:v>Customer_17</c:v>
                </c:pt>
                <c:pt idx="3">
                  <c:v>Customer_2</c:v>
                </c:pt>
                <c:pt idx="4">
                  <c:v>Customer_26</c:v>
                </c:pt>
                <c:pt idx="5">
                  <c:v>Customer_27</c:v>
                </c:pt>
                <c:pt idx="6">
                  <c:v>Customer_31</c:v>
                </c:pt>
                <c:pt idx="7">
                  <c:v>Customer_35</c:v>
                </c:pt>
                <c:pt idx="8">
                  <c:v>Customer_44</c:v>
                </c:pt>
                <c:pt idx="9">
                  <c:v>Customer_49</c:v>
                </c:pt>
              </c:strCache>
            </c:strRef>
          </c:cat>
          <c:val>
            <c:numRef>
              <c:f>Sales_Dataset!$N$65:$N$75</c:f>
              <c:numCache>
                <c:formatCode>General</c:formatCode>
                <c:ptCount val="10"/>
                <c:pt idx="0">
                  <c:v>335000</c:v>
                </c:pt>
                <c:pt idx="1">
                  <c:v>280000</c:v>
                </c:pt>
                <c:pt idx="2">
                  <c:v>255000</c:v>
                </c:pt>
                <c:pt idx="3">
                  <c:v>370000</c:v>
                </c:pt>
                <c:pt idx="4">
                  <c:v>270000</c:v>
                </c:pt>
                <c:pt idx="5">
                  <c:v>285000</c:v>
                </c:pt>
                <c:pt idx="6">
                  <c:v>348000</c:v>
                </c:pt>
                <c:pt idx="7">
                  <c:v>965000</c:v>
                </c:pt>
                <c:pt idx="8">
                  <c:v>318000</c:v>
                </c:pt>
                <c:pt idx="9">
                  <c:v>355000</c:v>
                </c:pt>
              </c:numCache>
            </c:numRef>
          </c:val>
          <c:extLst>
            <c:ext xmlns:c16="http://schemas.microsoft.com/office/drawing/2014/chart" uri="{C3380CC4-5D6E-409C-BE32-E72D297353CC}">
              <c16:uniqueId val="{00000000-88F9-4BDF-AB95-4DE05C47272F}"/>
            </c:ext>
          </c:extLst>
        </c:ser>
        <c:dLbls>
          <c:showLegendKey val="0"/>
          <c:showVal val="1"/>
          <c:showCatName val="0"/>
          <c:showSerName val="0"/>
          <c:showPercent val="0"/>
          <c:showBubbleSize val="0"/>
        </c:dLbls>
        <c:gapWidth val="150"/>
        <c:axId val="686714144"/>
        <c:axId val="686702624"/>
      </c:barChart>
      <c:catAx>
        <c:axId val="68671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686702624"/>
        <c:crosses val="autoZero"/>
        <c:auto val="1"/>
        <c:lblAlgn val="ctr"/>
        <c:lblOffset val="100"/>
        <c:noMultiLvlLbl val="0"/>
      </c:catAx>
      <c:valAx>
        <c:axId val="686702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nstantia" panose="02030602050306030303" pitchFamily="18" charset="0"/>
                <a:ea typeface="+mn-ea"/>
                <a:cs typeface="+mn-cs"/>
              </a:defRPr>
            </a:pPr>
            <a:endParaRPr lang="en-US"/>
          </a:p>
        </c:txPr>
        <c:crossAx val="68671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withinLinearReversed" id="25">
  <a:schemeClr val="accent5"/>
</cs:colorStyle>
</file>

<file path=xl/charts/colors1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14</xdr:col>
      <xdr:colOff>53340</xdr:colOff>
      <xdr:row>0</xdr:row>
      <xdr:rowOff>60960</xdr:rowOff>
    </xdr:from>
    <xdr:to>
      <xdr:col>21</xdr:col>
      <xdr:colOff>358140</xdr:colOff>
      <xdr:row>15</xdr:row>
      <xdr:rowOff>60960</xdr:rowOff>
    </xdr:to>
    <xdr:graphicFrame macro="">
      <xdr:nvGraphicFramePr>
        <xdr:cNvPr id="2" name="SALES BY REGION">
          <a:extLst>
            <a:ext uri="{FF2B5EF4-FFF2-40B4-BE49-F238E27FC236}">
              <a16:creationId xmlns:a16="http://schemas.microsoft.com/office/drawing/2014/main" id="{149D3F82-3BAC-4C96-81A3-AE2233BDF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464820</xdr:colOff>
      <xdr:row>0</xdr:row>
      <xdr:rowOff>60960</xdr:rowOff>
    </xdr:from>
    <xdr:to>
      <xdr:col>29</xdr:col>
      <xdr:colOff>160020</xdr:colOff>
      <xdr:row>15</xdr:row>
      <xdr:rowOff>60960</xdr:rowOff>
    </xdr:to>
    <xdr:graphicFrame macro="">
      <xdr:nvGraphicFramePr>
        <xdr:cNvPr id="3" name="AVERAGE SALES BY REGION">
          <a:extLst>
            <a:ext uri="{FF2B5EF4-FFF2-40B4-BE49-F238E27FC236}">
              <a16:creationId xmlns:a16="http://schemas.microsoft.com/office/drawing/2014/main" id="{0D4DCF02-8F04-4FBD-A122-143C0B4C0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65689</xdr:colOff>
      <xdr:row>15</xdr:row>
      <xdr:rowOff>112986</xdr:rowOff>
    </xdr:from>
    <xdr:to>
      <xdr:col>21</xdr:col>
      <xdr:colOff>345965</xdr:colOff>
      <xdr:row>30</xdr:row>
      <xdr:rowOff>97221</xdr:rowOff>
    </xdr:to>
    <xdr:graphicFrame macro="">
      <xdr:nvGraphicFramePr>
        <xdr:cNvPr id="4" name="SALES BY CATEGORY">
          <a:extLst>
            <a:ext uri="{FF2B5EF4-FFF2-40B4-BE49-F238E27FC236}">
              <a16:creationId xmlns:a16="http://schemas.microsoft.com/office/drawing/2014/main" id="{D951E587-D2BA-425C-B79D-48D830896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591207</xdr:colOff>
      <xdr:row>15</xdr:row>
      <xdr:rowOff>112986</xdr:rowOff>
    </xdr:from>
    <xdr:to>
      <xdr:col>29</xdr:col>
      <xdr:colOff>258379</xdr:colOff>
      <xdr:row>30</xdr:row>
      <xdr:rowOff>97221</xdr:rowOff>
    </xdr:to>
    <xdr:graphicFrame macro="">
      <xdr:nvGraphicFramePr>
        <xdr:cNvPr id="5" name="TOP PRODUCT BY SALES ">
          <a:extLst>
            <a:ext uri="{FF2B5EF4-FFF2-40B4-BE49-F238E27FC236}">
              <a16:creationId xmlns:a16="http://schemas.microsoft.com/office/drawing/2014/main" id="{A155473E-14E6-4859-AB45-E597D3FE1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118242</xdr:colOff>
      <xdr:row>30</xdr:row>
      <xdr:rowOff>148021</xdr:rowOff>
    </xdr:from>
    <xdr:to>
      <xdr:col>21</xdr:col>
      <xdr:colOff>398518</xdr:colOff>
      <xdr:row>45</xdr:row>
      <xdr:rowOff>132255</xdr:rowOff>
    </xdr:to>
    <xdr:graphicFrame macro="">
      <xdr:nvGraphicFramePr>
        <xdr:cNvPr id="6" name="MONTHLY SALES TREND">
          <a:extLst>
            <a:ext uri="{FF2B5EF4-FFF2-40B4-BE49-F238E27FC236}">
              <a16:creationId xmlns:a16="http://schemas.microsoft.com/office/drawing/2014/main" id="{472F85A7-C8A9-4225-B128-626A1A11C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144517</xdr:colOff>
      <xdr:row>46</xdr:row>
      <xdr:rowOff>7882</xdr:rowOff>
    </xdr:from>
    <xdr:to>
      <xdr:col>21</xdr:col>
      <xdr:colOff>424793</xdr:colOff>
      <xdr:row>60</xdr:row>
      <xdr:rowOff>176048</xdr:rowOff>
    </xdr:to>
    <xdr:graphicFrame macro="">
      <xdr:nvGraphicFramePr>
        <xdr:cNvPr id="7" name="QUANTITY SOLD BY CATEGORY">
          <a:extLst>
            <a:ext uri="{FF2B5EF4-FFF2-40B4-BE49-F238E27FC236}">
              <a16:creationId xmlns:a16="http://schemas.microsoft.com/office/drawing/2014/main" id="{74511219-5D18-42C3-977D-6B66C2A47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34018</xdr:colOff>
      <xdr:row>31</xdr:row>
      <xdr:rowOff>9526</xdr:rowOff>
    </xdr:from>
    <xdr:to>
      <xdr:col>29</xdr:col>
      <xdr:colOff>319768</xdr:colOff>
      <xdr:row>46</xdr:row>
      <xdr:rowOff>99334</xdr:rowOff>
    </xdr:to>
    <xdr:graphicFrame macro="">
      <xdr:nvGraphicFramePr>
        <xdr:cNvPr id="8" name="PRODUCT WISE QUANTITY ">
          <a:extLst>
            <a:ext uri="{FF2B5EF4-FFF2-40B4-BE49-F238E27FC236}">
              <a16:creationId xmlns:a16="http://schemas.microsoft.com/office/drawing/2014/main" id="{6E8C1049-C562-4256-BF40-476688369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469446</xdr:colOff>
      <xdr:row>47</xdr:row>
      <xdr:rowOff>131990</xdr:rowOff>
    </xdr:from>
    <xdr:to>
      <xdr:col>29</xdr:col>
      <xdr:colOff>142875</xdr:colOff>
      <xdr:row>63</xdr:row>
      <xdr:rowOff>44904</xdr:rowOff>
    </xdr:to>
    <xdr:graphicFrame macro="">
      <xdr:nvGraphicFramePr>
        <xdr:cNvPr id="9" name="TOP CUSTOMERS BY SALES">
          <a:extLst>
            <a:ext uri="{FF2B5EF4-FFF2-40B4-BE49-F238E27FC236}">
              <a16:creationId xmlns:a16="http://schemas.microsoft.com/office/drawing/2014/main" id="{3C2A3CA8-3455-46F4-8F45-AD29D5DC0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200381</xdr:colOff>
      <xdr:row>7</xdr:row>
      <xdr:rowOff>154550</xdr:rowOff>
    </xdr:from>
    <xdr:to>
      <xdr:col>9</xdr:col>
      <xdr:colOff>252139</xdr:colOff>
      <xdr:row>22</xdr:row>
      <xdr:rowOff>94165</xdr:rowOff>
    </xdr:to>
    <xdr:graphicFrame macro="">
      <xdr:nvGraphicFramePr>
        <xdr:cNvPr id="2" name="SALES BY REGION">
          <a:extLst>
            <a:ext uri="{FF2B5EF4-FFF2-40B4-BE49-F238E27FC236}">
              <a16:creationId xmlns:a16="http://schemas.microsoft.com/office/drawing/2014/main" id="{D8EC2AE0-D9C5-4C96-B8EC-05553087F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337614</xdr:colOff>
      <xdr:row>22</xdr:row>
      <xdr:rowOff>139471</xdr:rowOff>
    </xdr:from>
    <xdr:to>
      <xdr:col>18</xdr:col>
      <xdr:colOff>389373</xdr:colOff>
      <xdr:row>37</xdr:row>
      <xdr:rowOff>79087</xdr:rowOff>
    </xdr:to>
    <xdr:graphicFrame macro="">
      <xdr:nvGraphicFramePr>
        <xdr:cNvPr id="3" name="AVERAGE SALES BY REGION">
          <a:extLst>
            <a:ext uri="{FF2B5EF4-FFF2-40B4-BE49-F238E27FC236}">
              <a16:creationId xmlns:a16="http://schemas.microsoft.com/office/drawing/2014/main" id="{B53FBCF0-3AFB-4E96-94FF-24F3E5A1E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16432</xdr:colOff>
      <xdr:row>37</xdr:row>
      <xdr:rowOff>150725</xdr:rowOff>
    </xdr:from>
    <xdr:to>
      <xdr:col>15</xdr:col>
      <xdr:colOff>361488</xdr:colOff>
      <xdr:row>52</xdr:row>
      <xdr:rowOff>90340</xdr:rowOff>
    </xdr:to>
    <xdr:graphicFrame macro="">
      <xdr:nvGraphicFramePr>
        <xdr:cNvPr id="4" name="SALES BY CATEGORY">
          <a:extLst>
            <a:ext uri="{FF2B5EF4-FFF2-40B4-BE49-F238E27FC236}">
              <a16:creationId xmlns:a16="http://schemas.microsoft.com/office/drawing/2014/main" id="{B7F5979F-CAD1-4D58-B0F6-C40187251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320545</xdr:colOff>
      <xdr:row>7</xdr:row>
      <xdr:rowOff>150726</xdr:rowOff>
    </xdr:from>
    <xdr:to>
      <xdr:col>18</xdr:col>
      <xdr:colOff>372304</xdr:colOff>
      <xdr:row>22</xdr:row>
      <xdr:rowOff>90341</xdr:rowOff>
    </xdr:to>
    <xdr:graphicFrame macro="">
      <xdr:nvGraphicFramePr>
        <xdr:cNvPr id="5" name="TOP PRODUCT BY SALES ">
          <a:extLst>
            <a:ext uri="{FF2B5EF4-FFF2-40B4-BE49-F238E27FC236}">
              <a16:creationId xmlns:a16="http://schemas.microsoft.com/office/drawing/2014/main" id="{88520426-9795-4E0B-945E-DFF5CE3A9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450010</xdr:colOff>
      <xdr:row>7</xdr:row>
      <xdr:rowOff>138652</xdr:rowOff>
    </xdr:from>
    <xdr:to>
      <xdr:col>27</xdr:col>
      <xdr:colOff>501768</xdr:colOff>
      <xdr:row>22</xdr:row>
      <xdr:rowOff>78267</xdr:rowOff>
    </xdr:to>
    <xdr:graphicFrame macro="">
      <xdr:nvGraphicFramePr>
        <xdr:cNvPr id="6" name="MONTHLY SALES TREND">
          <a:extLst>
            <a:ext uri="{FF2B5EF4-FFF2-40B4-BE49-F238E27FC236}">
              <a16:creationId xmlns:a16="http://schemas.microsoft.com/office/drawing/2014/main" id="{97F36473-F94D-4C53-9A46-AD0C44AD2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191365</xdr:colOff>
      <xdr:row>37</xdr:row>
      <xdr:rowOff>137136</xdr:rowOff>
    </xdr:from>
    <xdr:to>
      <xdr:col>7</xdr:col>
      <xdr:colOff>536422</xdr:colOff>
      <xdr:row>52</xdr:row>
      <xdr:rowOff>76751</xdr:rowOff>
    </xdr:to>
    <xdr:graphicFrame macro="">
      <xdr:nvGraphicFramePr>
        <xdr:cNvPr id="7" name="QUANTITY SOLD BY CATEGORY">
          <a:extLst>
            <a:ext uri="{FF2B5EF4-FFF2-40B4-BE49-F238E27FC236}">
              <a16:creationId xmlns:a16="http://schemas.microsoft.com/office/drawing/2014/main" id="{F9F4C96C-4E10-42F6-ACDF-0EC34B4E0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195222</xdr:colOff>
      <xdr:row>22</xdr:row>
      <xdr:rowOff>142022</xdr:rowOff>
    </xdr:from>
    <xdr:to>
      <xdr:col>9</xdr:col>
      <xdr:colOff>246980</xdr:colOff>
      <xdr:row>37</xdr:row>
      <xdr:rowOff>81638</xdr:rowOff>
    </xdr:to>
    <xdr:graphicFrame macro="">
      <xdr:nvGraphicFramePr>
        <xdr:cNvPr id="8" name="PRODUCT WISE QUANTITY ">
          <a:extLst>
            <a:ext uri="{FF2B5EF4-FFF2-40B4-BE49-F238E27FC236}">
              <a16:creationId xmlns:a16="http://schemas.microsoft.com/office/drawing/2014/main" id="{C286E9FF-AF15-4621-A66F-896E76C8B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407116</xdr:colOff>
      <xdr:row>37</xdr:row>
      <xdr:rowOff>136398</xdr:rowOff>
    </xdr:from>
    <xdr:to>
      <xdr:col>27</xdr:col>
      <xdr:colOff>503207</xdr:colOff>
      <xdr:row>52</xdr:row>
      <xdr:rowOff>76013</xdr:rowOff>
    </xdr:to>
    <xdr:graphicFrame macro="">
      <xdr:nvGraphicFramePr>
        <xdr:cNvPr id="9" name="TOP CUSTOMERS BY SALES">
          <a:extLst>
            <a:ext uri="{FF2B5EF4-FFF2-40B4-BE49-F238E27FC236}">
              <a16:creationId xmlns:a16="http://schemas.microsoft.com/office/drawing/2014/main" id="{A647164D-7FBD-4115-BE80-83E0F3B5F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218208</xdr:colOff>
      <xdr:row>4</xdr:row>
      <xdr:rowOff>5081</xdr:rowOff>
    </xdr:from>
    <xdr:to>
      <xdr:col>27</xdr:col>
      <xdr:colOff>517584</xdr:colOff>
      <xdr:row>7</xdr:row>
      <xdr:rowOff>69274</xdr:rowOff>
    </xdr:to>
    <mc:AlternateContent xmlns:mc="http://schemas.openxmlformats.org/markup-compatibility/2006" xmlns:a14="http://schemas.microsoft.com/office/drawing/2010/main">
      <mc:Choice Requires="a14">
        <xdr:graphicFrame macro="">
          <xdr:nvGraphicFramePr>
            <xdr:cNvPr id="10" name="Order_Date_By_Month">
              <a:extLst>
                <a:ext uri="{FF2B5EF4-FFF2-40B4-BE49-F238E27FC236}">
                  <a16:creationId xmlns:a16="http://schemas.microsoft.com/office/drawing/2014/main" id="{80821A5A-9BB2-4B03-947A-6419436A4302}"/>
                </a:ext>
              </a:extLst>
            </xdr:cNvPr>
            <xdr:cNvGraphicFramePr/>
          </xdr:nvGraphicFramePr>
          <xdr:xfrm>
            <a:off x="0" y="0"/>
            <a:ext cx="0" cy="0"/>
          </xdr:xfrm>
          <a:graphic>
            <a:graphicData uri="http://schemas.microsoft.com/office/drawing/2010/slicer">
              <sle:slicer xmlns:sle="http://schemas.microsoft.com/office/drawing/2010/slicer" name="Order_Date_By_Month"/>
            </a:graphicData>
          </a:graphic>
        </xdr:graphicFrame>
      </mc:Choice>
      <mc:Fallback xmlns="">
        <xdr:sp macro="" textlink="">
          <xdr:nvSpPr>
            <xdr:cNvPr id="0" name=""/>
            <xdr:cNvSpPr>
              <a:spLocks noTextEdit="1"/>
            </xdr:cNvSpPr>
          </xdr:nvSpPr>
          <xdr:spPr>
            <a:xfrm>
              <a:off x="218208" y="736601"/>
              <a:ext cx="16758576" cy="612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402566</xdr:colOff>
      <xdr:row>22</xdr:row>
      <xdr:rowOff>124940</xdr:rowOff>
    </xdr:from>
    <xdr:to>
      <xdr:col>27</xdr:col>
      <xdr:colOff>531961</xdr:colOff>
      <xdr:row>27</xdr:row>
      <xdr:rowOff>86264</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BAB3C591-E6E6-4715-A500-26E5A04E97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813766" y="4148300"/>
              <a:ext cx="3177395" cy="875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438650</xdr:colOff>
      <xdr:row>27</xdr:row>
      <xdr:rowOff>116170</xdr:rowOff>
    </xdr:from>
    <xdr:to>
      <xdr:col>27</xdr:col>
      <xdr:colOff>517584</xdr:colOff>
      <xdr:row>37</xdr:row>
      <xdr:rowOff>71888</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E51EEC15-EE61-4DF9-B423-54730CAF889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411450" y="5053930"/>
              <a:ext cx="5565334" cy="1784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444261</xdr:colOff>
      <xdr:row>22</xdr:row>
      <xdr:rowOff>121777</xdr:rowOff>
    </xdr:from>
    <xdr:to>
      <xdr:col>22</xdr:col>
      <xdr:colOff>359435</xdr:colOff>
      <xdr:row>27</xdr:row>
      <xdr:rowOff>86265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AE66A8D3-02B5-4B1A-8DB9-9232C5D989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17061" y="4145137"/>
              <a:ext cx="2353574" cy="878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207818</xdr:colOff>
      <xdr:row>0</xdr:row>
      <xdr:rowOff>143773</xdr:rowOff>
    </xdr:from>
    <xdr:to>
      <xdr:col>27</xdr:col>
      <xdr:colOff>503207</xdr:colOff>
      <xdr:row>3</xdr:row>
      <xdr:rowOff>86590</xdr:rowOff>
    </xdr:to>
    <xdr:sp macro="" textlink="">
      <xdr:nvSpPr>
        <xdr:cNvPr id="14" name="TextBox 13">
          <a:extLst>
            <a:ext uri="{FF2B5EF4-FFF2-40B4-BE49-F238E27FC236}">
              <a16:creationId xmlns:a16="http://schemas.microsoft.com/office/drawing/2014/main" id="{D6889AE4-16D7-4E8D-BCF8-17E284E17402}"/>
            </a:ext>
          </a:extLst>
        </xdr:cNvPr>
        <xdr:cNvSpPr txBox="1"/>
      </xdr:nvSpPr>
      <xdr:spPr>
        <a:xfrm>
          <a:off x="207818" y="143773"/>
          <a:ext cx="16754589" cy="49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chemeClr val="bg1"/>
              </a:solidFill>
              <a:latin typeface="Constantia" panose="02030602050306030303" pitchFamily="18" charset="0"/>
            </a:rPr>
            <a:t>SALES</a:t>
          </a:r>
          <a:r>
            <a:rPr lang="en-US" sz="3000" b="1" baseline="0">
              <a:solidFill>
                <a:schemeClr val="bg1"/>
              </a:solidFill>
              <a:latin typeface="Constantia" panose="02030602050306030303" pitchFamily="18" charset="0"/>
            </a:rPr>
            <a:t> DASHBOARD</a:t>
          </a:r>
          <a:endParaRPr lang="en-US" sz="3000" b="1">
            <a:solidFill>
              <a:schemeClr val="bg1"/>
            </a:solidFill>
            <a:latin typeface="Constantia" panose="020306020503060303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nees/Documents/DA-Project-01-0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eesh " refreshedDate="46237.473924189813" createdVersion="8" refreshedVersion="8" minRefreshableVersion="3" recordCount="249" xr:uid="{21C266EE-8A73-404D-AA18-DBDD7B12D306}">
  <cacheSource type="worksheet">
    <worksheetSource ref="A1:K250" sheet="PROJECT-01" r:id="rId2"/>
  </cacheSource>
  <cacheFields count="14">
    <cacheField name="Order_ID" numFmtId="0">
      <sharedItems containsSemiMixedTypes="0" containsString="0" containsNumber="1" containsInteger="1" minValue="1" maxValue="250"/>
    </cacheField>
    <cacheField name="Order_Date" numFmtId="164">
      <sharedItems containsSemiMixedTypes="0" containsNonDate="0" containsDate="1" containsString="0" minDate="2023-01-04T00:00:00" maxDate="2024-01-02T00:00:00" count="167">
        <d v="2023-09-02T00:00:00"/>
        <d v="2023-07-17T00:00:00"/>
        <d v="2023-12-21T00:00:00"/>
        <d v="2023-11-23T00:00:00"/>
        <d v="2023-08-16T00:00:00"/>
        <d v="2023-03-08T00:00:00"/>
        <d v="2023-05-08T00:00:00"/>
        <d v="2023-09-01T00:00:00"/>
        <d v="2023-04-11T00:00:00"/>
        <d v="2023-03-23T00:00:00"/>
        <d v="2023-08-25T00:00:00"/>
        <d v="2023-04-30T00:00:00"/>
        <d v="2023-04-05T00:00:00"/>
        <d v="2023-05-20T00:00:00"/>
        <d v="2023-08-11T00:00:00"/>
        <d v="2023-05-16T00:00:00"/>
        <d v="2023-01-11T00:00:00"/>
        <d v="2023-07-18T00:00:00"/>
        <d v="2023-09-05T00:00:00"/>
        <d v="2023-11-21T00:00:00"/>
        <d v="2023-08-03T00:00:00"/>
        <d v="2023-02-10T00:00:00"/>
        <d v="2023-03-16T00:00:00"/>
        <d v="2023-03-30T00:00:00"/>
        <d v="2023-12-16T00:00:00"/>
        <d v="2023-10-20T00:00:00"/>
        <d v="2023-12-06T00:00:00"/>
        <d v="2023-10-26T00:00:00"/>
        <d v="2023-02-18T00:00:00"/>
        <d v="2023-08-29T00:00:00"/>
        <d v="2023-08-05T00:00:00"/>
        <d v="2023-04-17T00:00:00"/>
        <d v="2023-01-22T00:00:00"/>
        <d v="2023-03-19T00:00:00"/>
        <d v="2023-01-10T00:00:00"/>
        <d v="2023-06-09T00:00:00"/>
        <d v="2023-10-04T00:00:00"/>
        <d v="2023-06-06T00:00:00"/>
        <d v="2023-01-17T00:00:00"/>
        <d v="2023-04-10T00:00:00"/>
        <d v="2023-04-20T00:00:00"/>
        <d v="2023-06-25T00:00:00"/>
        <d v="2023-03-22T00:00:00"/>
        <d v="2023-12-28T00:00:00"/>
        <d v="2023-05-31T00:00:00"/>
        <d v="2023-04-09T00:00:00"/>
        <d v="2023-11-09T00:00:00"/>
        <d v="2023-09-25T00:00:00"/>
        <d v="2023-05-02T00:00:00"/>
        <d v="2023-03-10T00:00:00"/>
        <d v="2023-12-19T00:00:00"/>
        <d v="2023-04-28T00:00:00"/>
        <d v="2023-11-20T00:00:00"/>
        <d v="2023-09-03T00:00:00"/>
        <d v="2023-09-24T00:00:00"/>
        <d v="2023-01-07T00:00:00"/>
        <d v="2023-02-28T00:00:00"/>
        <d v="2023-12-02T00:00:00"/>
        <d v="2023-02-07T00:00:00"/>
        <d v="2023-12-26T00:00:00"/>
        <d v="2023-11-04T00:00:00"/>
        <d v="2023-11-01T00:00:00"/>
        <d v="2023-12-10T00:00:00"/>
        <d v="2023-02-22T00:00:00"/>
        <d v="2023-07-02T00:00:00"/>
        <d v="2023-07-15T00:00:00"/>
        <d v="2023-07-28T00:00:00"/>
        <d v="2023-06-19T00:00:00"/>
        <d v="2023-10-29T00:00:00"/>
        <d v="2023-08-27T00:00:00"/>
        <d v="2023-08-13T00:00:00"/>
        <d v="2023-11-13T00:00:00"/>
        <d v="2023-03-31T00:00:00"/>
        <d v="2023-07-09T00:00:00"/>
        <d v="2023-02-11T00:00:00"/>
        <d v="2023-02-26T00:00:00"/>
        <d v="2023-08-06T00:00:00"/>
        <d v="2023-10-05T00:00:00"/>
        <d v="2023-06-17T00:00:00"/>
        <d v="2023-05-27T00:00:00"/>
        <d v="2023-05-26T00:00:00"/>
        <d v="2023-10-03T00:00:00"/>
        <d v="2023-07-04T00:00:00"/>
        <d v="2023-02-05T00:00:00"/>
        <d v="2023-05-17T00:00:00"/>
        <d v="2023-06-14T00:00:00"/>
        <d v="2023-03-14T00:00:00"/>
        <d v="2023-02-24T00:00:00"/>
        <d v="2023-01-20T00:00:00"/>
        <d v="2023-11-18T00:00:00"/>
        <d v="2023-05-23T00:00:00"/>
        <d v="2023-06-05T00:00:00"/>
        <d v="2023-07-10T00:00:00"/>
        <d v="2023-06-22T00:00:00"/>
        <d v="2023-07-26T00:00:00"/>
        <d v="2023-03-02T00:00:00"/>
        <d v="2023-01-28T00:00:00"/>
        <d v="2023-09-21T00:00:00"/>
        <d v="2023-05-05T00:00:00"/>
        <d v="2023-04-02T00:00:00"/>
        <d v="2024-01-01T00:00:00"/>
        <d v="2023-03-28T00:00:00"/>
        <d v="2023-12-07T00:00:00"/>
        <d v="2023-01-26T00:00:00"/>
        <d v="2023-12-05T00:00:00"/>
        <d v="2023-04-29T00:00:00"/>
        <d v="2023-02-03T00:00:00"/>
        <d v="2023-05-03T00:00:00"/>
        <d v="2023-05-25T00:00:00"/>
        <d v="2023-10-28T00:00:00"/>
        <d v="2023-10-23T00:00:00"/>
        <d v="2023-05-10T00:00:00"/>
        <d v="2023-08-24T00:00:00"/>
        <d v="2023-09-13T00:00:00"/>
        <d v="2023-08-28T00:00:00"/>
        <d v="2023-08-22T00:00:00"/>
        <d v="2023-06-20T00:00:00"/>
        <d v="2023-03-26T00:00:00"/>
        <d v="2023-02-13T00:00:00"/>
        <d v="2023-07-19T00:00:00"/>
        <d v="2023-06-13T00:00:00"/>
        <d v="2023-08-17T00:00:00"/>
        <d v="2023-07-11T00:00:00"/>
        <d v="2023-11-11T00:00:00"/>
        <d v="2023-05-21T00:00:00"/>
        <d v="2023-09-10T00:00:00"/>
        <d v="2023-07-24T00:00:00"/>
        <d v="2023-04-12T00:00:00"/>
        <d v="2023-03-03T00:00:00"/>
        <d v="2023-09-23T00:00:00"/>
        <d v="2023-06-18T00:00:00"/>
        <d v="2023-06-16T00:00:00"/>
        <d v="2023-12-08T00:00:00"/>
        <d v="2023-03-09T00:00:00"/>
        <d v="2023-02-09T00:00:00"/>
        <d v="2023-06-01T00:00:00"/>
        <d v="2023-01-06T00:00:00"/>
        <d v="2023-07-30T00:00:00"/>
        <d v="2023-12-27T00:00:00"/>
        <d v="2023-06-10T00:00:00"/>
        <d v="2023-12-30T00:00:00"/>
        <d v="2023-01-25T00:00:00"/>
        <d v="2023-06-12T00:00:00"/>
        <d v="2023-01-14T00:00:00"/>
        <d v="2023-02-25T00:00:00"/>
        <d v="2023-10-19T00:00:00"/>
        <d v="2023-06-15T00:00:00"/>
        <d v="2023-09-08T00:00:00"/>
        <d v="2023-12-13T00:00:00"/>
        <d v="2023-08-02T00:00:00"/>
        <d v="2023-04-19T00:00:00"/>
        <d v="2023-11-25T00:00:00"/>
        <d v="2023-12-01T00:00:00"/>
        <d v="2023-10-01T00:00:00"/>
        <d v="2023-08-23T00:00:00"/>
        <d v="2023-09-29T00:00:00"/>
        <d v="2023-10-16T00:00:00"/>
        <d v="2023-09-26T00:00:00"/>
        <d v="2023-06-11T00:00:00"/>
        <d v="2023-05-11T00:00:00"/>
        <d v="2023-07-14T00:00:00"/>
        <d v="2023-08-20T00:00:00"/>
        <d v="2023-08-26T00:00:00"/>
        <d v="2023-05-13T00:00:00"/>
        <d v="2023-10-13T00:00:00"/>
        <d v="2023-01-04T00:00:00"/>
        <d v="2023-12-24T00:00:00"/>
      </sharedItems>
      <fieldGroup par="13"/>
    </cacheField>
    <cacheField name="Order_Date_By_Month" numFmtId="0">
      <sharedItems count="12">
        <s v="Sep"/>
        <s v="Jul"/>
        <s v="Dec"/>
        <s v="Nov"/>
        <s v="Aug"/>
        <s v="Mar"/>
        <s v="May"/>
        <s v="Apr"/>
        <s v="Jan"/>
        <s v="Feb"/>
        <s v="Oct"/>
        <s v="Jun"/>
      </sharedItems>
    </cacheField>
    <cacheField name="Customer_Name" numFmtId="0">
      <sharedItems count="50">
        <s v="Customer_24"/>
        <s v="Customer_27"/>
        <s v="Customer_31"/>
        <s v="Customer_32"/>
        <s v="Customer_12"/>
        <s v="Customer_29"/>
        <s v="Customer_33"/>
        <s v="Customer_7"/>
        <s v="Customer_35"/>
        <s v="Customer_13"/>
        <s v="Customer_50"/>
        <s v="Customer_8"/>
        <s v="Customer_2"/>
        <s v="Customer_44"/>
        <s v="Customer_1"/>
        <s v="Customer_41"/>
        <s v="Customer_38"/>
        <s v="Customer_46"/>
        <s v="Customer_36"/>
        <s v="Customer_19"/>
        <s v="Customer_20"/>
        <s v="Customer_4"/>
        <s v="Customer_34"/>
        <s v="Customer_5"/>
        <s v="Customer_42"/>
        <s v="Customer_37"/>
        <s v="Customer_25"/>
        <s v="Customer_15"/>
        <s v="Customer_48"/>
        <s v="Customer_28"/>
        <s v="Customer_39"/>
        <s v="Customer_11"/>
        <s v="Customer_40"/>
        <s v="Customer_9"/>
        <s v="Customer_45"/>
        <s v="Customer_21"/>
        <s v="Customer_14"/>
        <s v="Customer_26"/>
        <s v="Customer_47"/>
        <s v="Customer_43"/>
        <s v="Customer_23"/>
        <s v="Customer_22"/>
        <s v="Customer_6"/>
        <s v="Customer_3"/>
        <s v="Customer_17"/>
        <s v="Customer_30"/>
        <s v="Customer_16"/>
        <s v="Customer_10"/>
        <s v="Customer_49"/>
        <s v="Customer_18"/>
      </sharedItems>
    </cacheField>
    <cacheField name="Region" numFmtId="0">
      <sharedItems count="4">
        <s v="East"/>
        <s v="south"/>
        <s v="West"/>
        <s v="North"/>
      </sharedItems>
    </cacheField>
    <cacheField name="Product" numFmtId="0">
      <sharedItems count="5">
        <s v="Headphones"/>
        <s v="Monitor"/>
        <s v="laptop"/>
        <s v="Phone"/>
        <s v="Tablet"/>
      </sharedItems>
    </cacheField>
    <cacheField name="Category" numFmtId="0">
      <sharedItems count="2">
        <s v="Electronics"/>
        <s v="Accessories"/>
      </sharedItems>
    </cacheField>
    <cacheField name="Quantity" numFmtId="0">
      <sharedItems containsSemiMixedTypes="0" containsString="0" containsNumber="1" containsInteger="1" minValue="1" maxValue="5" count="5">
        <n v="3"/>
        <n v="4"/>
        <n v="2"/>
        <n v="5"/>
        <n v="1"/>
      </sharedItems>
    </cacheField>
    <cacheField name="Price" numFmtId="0">
      <sharedItems containsSemiMixedTypes="0" containsString="0" containsNumber="1" containsInteger="1" minValue="1000" maxValue="30000" count="5">
        <n v="10000"/>
        <n v="5000"/>
        <n v="1000"/>
        <n v="30000"/>
        <n v="20000"/>
      </sharedItems>
    </cacheField>
    <cacheField name="Sales" numFmtId="0">
      <sharedItems containsSemiMixedTypes="0" containsString="0" containsNumber="1" containsInteger="1" minValue="1000" maxValue="150000" count="17">
        <n v="30000"/>
        <n v="20000"/>
        <n v="3000"/>
        <n v="90000"/>
        <n v="15000"/>
        <n v="50000"/>
        <n v="4000"/>
        <n v="100000"/>
        <n v="10000"/>
        <n v="5000"/>
        <n v="40000"/>
        <n v="2000"/>
        <n v="60000"/>
        <n v="1000"/>
        <n v="80000"/>
        <n v="150000"/>
        <n v="25000"/>
      </sharedItems>
    </cacheField>
    <cacheField name="Average_Sales" numFmtId="0">
      <sharedItems containsSemiMixedTypes="0" containsString="0" containsNumber="1" containsInteger="1" minValue="500" maxValue="75000" count="17">
        <n v="15000"/>
        <n v="10000"/>
        <n v="1500"/>
        <n v="45000"/>
        <n v="7500"/>
        <n v="25000"/>
        <n v="2000"/>
        <n v="50000"/>
        <n v="5000"/>
        <n v="2500"/>
        <n v="20000"/>
        <n v="1000"/>
        <n v="30000"/>
        <n v="500"/>
        <n v="40000"/>
        <n v="75000"/>
        <n v="12500"/>
      </sharedItems>
    </cacheField>
    <cacheField name="Months (Order_Date)" numFmtId="0" databaseField="0">
      <fieldGroup base="1">
        <rangePr groupBy="months" startDate="2023-01-04T00:00:00" endDate="2024-01-02T00:00:00"/>
        <groupItems count="14">
          <s v="&lt;1/4/2023"/>
          <s v="Jan"/>
          <s v="Feb"/>
          <s v="Mar"/>
          <s v="Apr"/>
          <s v="May"/>
          <s v="Jun"/>
          <s v="Jul"/>
          <s v="Aug"/>
          <s v="Sep"/>
          <s v="Oct"/>
          <s v="Nov"/>
          <s v="Dec"/>
          <s v="&gt;1/2/2024"/>
        </groupItems>
      </fieldGroup>
    </cacheField>
    <cacheField name="Quarters (Order_Date)" numFmtId="0" databaseField="0">
      <fieldGroup base="1">
        <rangePr groupBy="quarters" startDate="2023-01-04T00:00:00" endDate="2024-01-02T00:00:00"/>
        <groupItems count="6">
          <s v="&lt;1/4/2023"/>
          <s v="Qtr1"/>
          <s v="Qtr2"/>
          <s v="Qtr3"/>
          <s v="Qtr4"/>
          <s v="&gt;1/2/2024"/>
        </groupItems>
      </fieldGroup>
    </cacheField>
    <cacheField name="Years (Order_Date)" numFmtId="0" databaseField="0">
      <fieldGroup base="1">
        <rangePr groupBy="years" startDate="2023-01-04T00:00:00" endDate="2024-01-02T00:00:00"/>
        <groupItems count="4">
          <s v="&lt;1/4/2023"/>
          <s v="2023"/>
          <s v="2024"/>
          <s v="&gt;1/2/2024"/>
        </groupItems>
      </fieldGroup>
    </cacheField>
  </cacheFields>
  <extLst>
    <ext xmlns:x14="http://schemas.microsoft.com/office/spreadsheetml/2009/9/main" uri="{725AE2AE-9491-48be-B2B4-4EB974FC3084}">
      <x14:pivotCacheDefinition pivotCacheId="1904801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n v="1"/>
    <x v="0"/>
    <x v="0"/>
    <x v="0"/>
    <x v="0"/>
    <x v="0"/>
    <x v="0"/>
    <x v="0"/>
    <x v="0"/>
    <x v="0"/>
    <x v="0"/>
  </r>
  <r>
    <n v="2"/>
    <x v="1"/>
    <x v="1"/>
    <x v="1"/>
    <x v="0"/>
    <x v="1"/>
    <x v="1"/>
    <x v="1"/>
    <x v="1"/>
    <x v="1"/>
    <x v="1"/>
  </r>
  <r>
    <n v="3"/>
    <x v="2"/>
    <x v="2"/>
    <x v="2"/>
    <x v="0"/>
    <x v="1"/>
    <x v="1"/>
    <x v="0"/>
    <x v="2"/>
    <x v="2"/>
    <x v="2"/>
  </r>
  <r>
    <n v="4"/>
    <x v="3"/>
    <x v="3"/>
    <x v="3"/>
    <x v="1"/>
    <x v="0"/>
    <x v="0"/>
    <x v="0"/>
    <x v="0"/>
    <x v="0"/>
    <x v="0"/>
  </r>
  <r>
    <n v="5"/>
    <x v="4"/>
    <x v="4"/>
    <x v="4"/>
    <x v="0"/>
    <x v="2"/>
    <x v="0"/>
    <x v="2"/>
    <x v="0"/>
    <x v="1"/>
    <x v="1"/>
  </r>
  <r>
    <n v="6"/>
    <x v="5"/>
    <x v="5"/>
    <x v="5"/>
    <x v="1"/>
    <x v="3"/>
    <x v="0"/>
    <x v="0"/>
    <x v="3"/>
    <x v="3"/>
    <x v="3"/>
  </r>
  <r>
    <n v="7"/>
    <x v="5"/>
    <x v="5"/>
    <x v="4"/>
    <x v="1"/>
    <x v="2"/>
    <x v="0"/>
    <x v="0"/>
    <x v="0"/>
    <x v="0"/>
    <x v="0"/>
  </r>
  <r>
    <n v="8"/>
    <x v="6"/>
    <x v="6"/>
    <x v="6"/>
    <x v="2"/>
    <x v="2"/>
    <x v="1"/>
    <x v="0"/>
    <x v="0"/>
    <x v="0"/>
    <x v="0"/>
  </r>
  <r>
    <n v="9"/>
    <x v="7"/>
    <x v="0"/>
    <x v="7"/>
    <x v="0"/>
    <x v="1"/>
    <x v="0"/>
    <x v="0"/>
    <x v="1"/>
    <x v="4"/>
    <x v="4"/>
  </r>
  <r>
    <n v="10"/>
    <x v="8"/>
    <x v="7"/>
    <x v="8"/>
    <x v="0"/>
    <x v="1"/>
    <x v="1"/>
    <x v="3"/>
    <x v="0"/>
    <x v="5"/>
    <x v="5"/>
  </r>
  <r>
    <n v="11"/>
    <x v="8"/>
    <x v="7"/>
    <x v="9"/>
    <x v="1"/>
    <x v="2"/>
    <x v="0"/>
    <x v="1"/>
    <x v="2"/>
    <x v="6"/>
    <x v="6"/>
  </r>
  <r>
    <n v="12"/>
    <x v="9"/>
    <x v="5"/>
    <x v="10"/>
    <x v="0"/>
    <x v="4"/>
    <x v="0"/>
    <x v="0"/>
    <x v="2"/>
    <x v="2"/>
    <x v="2"/>
  </r>
  <r>
    <n v="13"/>
    <x v="9"/>
    <x v="5"/>
    <x v="11"/>
    <x v="2"/>
    <x v="3"/>
    <x v="0"/>
    <x v="0"/>
    <x v="3"/>
    <x v="3"/>
    <x v="3"/>
  </r>
  <r>
    <n v="14"/>
    <x v="10"/>
    <x v="4"/>
    <x v="8"/>
    <x v="3"/>
    <x v="1"/>
    <x v="1"/>
    <x v="3"/>
    <x v="0"/>
    <x v="5"/>
    <x v="5"/>
  </r>
  <r>
    <n v="15"/>
    <x v="11"/>
    <x v="7"/>
    <x v="12"/>
    <x v="0"/>
    <x v="2"/>
    <x v="1"/>
    <x v="3"/>
    <x v="4"/>
    <x v="7"/>
    <x v="7"/>
  </r>
  <r>
    <n v="16"/>
    <x v="11"/>
    <x v="7"/>
    <x v="12"/>
    <x v="3"/>
    <x v="2"/>
    <x v="0"/>
    <x v="2"/>
    <x v="0"/>
    <x v="1"/>
    <x v="1"/>
  </r>
  <r>
    <n v="18"/>
    <x v="12"/>
    <x v="7"/>
    <x v="6"/>
    <x v="0"/>
    <x v="1"/>
    <x v="0"/>
    <x v="0"/>
    <x v="2"/>
    <x v="2"/>
    <x v="2"/>
  </r>
  <r>
    <n v="19"/>
    <x v="13"/>
    <x v="6"/>
    <x v="8"/>
    <x v="1"/>
    <x v="2"/>
    <x v="0"/>
    <x v="4"/>
    <x v="0"/>
    <x v="8"/>
    <x v="8"/>
  </r>
  <r>
    <n v="20"/>
    <x v="13"/>
    <x v="6"/>
    <x v="8"/>
    <x v="1"/>
    <x v="0"/>
    <x v="0"/>
    <x v="4"/>
    <x v="1"/>
    <x v="9"/>
    <x v="9"/>
  </r>
  <r>
    <n v="21"/>
    <x v="13"/>
    <x v="6"/>
    <x v="13"/>
    <x v="0"/>
    <x v="2"/>
    <x v="0"/>
    <x v="0"/>
    <x v="2"/>
    <x v="2"/>
    <x v="2"/>
  </r>
  <r>
    <n v="22"/>
    <x v="14"/>
    <x v="4"/>
    <x v="14"/>
    <x v="0"/>
    <x v="1"/>
    <x v="0"/>
    <x v="2"/>
    <x v="4"/>
    <x v="10"/>
    <x v="10"/>
  </r>
  <r>
    <n v="23"/>
    <x v="15"/>
    <x v="6"/>
    <x v="8"/>
    <x v="1"/>
    <x v="1"/>
    <x v="0"/>
    <x v="4"/>
    <x v="0"/>
    <x v="8"/>
    <x v="8"/>
  </r>
  <r>
    <n v="24"/>
    <x v="16"/>
    <x v="8"/>
    <x v="15"/>
    <x v="0"/>
    <x v="1"/>
    <x v="0"/>
    <x v="0"/>
    <x v="0"/>
    <x v="0"/>
    <x v="0"/>
  </r>
  <r>
    <n v="25"/>
    <x v="17"/>
    <x v="1"/>
    <x v="16"/>
    <x v="1"/>
    <x v="4"/>
    <x v="1"/>
    <x v="2"/>
    <x v="2"/>
    <x v="11"/>
    <x v="11"/>
  </r>
  <r>
    <n v="26"/>
    <x v="18"/>
    <x v="0"/>
    <x v="13"/>
    <x v="0"/>
    <x v="4"/>
    <x v="1"/>
    <x v="0"/>
    <x v="4"/>
    <x v="12"/>
    <x v="12"/>
  </r>
  <r>
    <n v="27"/>
    <x v="19"/>
    <x v="3"/>
    <x v="17"/>
    <x v="1"/>
    <x v="3"/>
    <x v="0"/>
    <x v="2"/>
    <x v="0"/>
    <x v="1"/>
    <x v="1"/>
  </r>
  <r>
    <n v="28"/>
    <x v="20"/>
    <x v="4"/>
    <x v="0"/>
    <x v="2"/>
    <x v="3"/>
    <x v="1"/>
    <x v="2"/>
    <x v="0"/>
    <x v="1"/>
    <x v="1"/>
  </r>
  <r>
    <n v="29"/>
    <x v="21"/>
    <x v="9"/>
    <x v="17"/>
    <x v="1"/>
    <x v="0"/>
    <x v="0"/>
    <x v="0"/>
    <x v="1"/>
    <x v="4"/>
    <x v="4"/>
  </r>
  <r>
    <n v="30"/>
    <x v="22"/>
    <x v="5"/>
    <x v="18"/>
    <x v="1"/>
    <x v="2"/>
    <x v="0"/>
    <x v="2"/>
    <x v="0"/>
    <x v="1"/>
    <x v="1"/>
  </r>
  <r>
    <n v="31"/>
    <x v="23"/>
    <x v="5"/>
    <x v="8"/>
    <x v="3"/>
    <x v="1"/>
    <x v="0"/>
    <x v="0"/>
    <x v="3"/>
    <x v="3"/>
    <x v="3"/>
  </r>
  <r>
    <n v="32"/>
    <x v="24"/>
    <x v="2"/>
    <x v="19"/>
    <x v="1"/>
    <x v="1"/>
    <x v="0"/>
    <x v="1"/>
    <x v="0"/>
    <x v="10"/>
    <x v="10"/>
  </r>
  <r>
    <n v="33"/>
    <x v="25"/>
    <x v="10"/>
    <x v="16"/>
    <x v="1"/>
    <x v="4"/>
    <x v="0"/>
    <x v="0"/>
    <x v="0"/>
    <x v="0"/>
    <x v="0"/>
  </r>
  <r>
    <n v="34"/>
    <x v="26"/>
    <x v="2"/>
    <x v="1"/>
    <x v="0"/>
    <x v="2"/>
    <x v="0"/>
    <x v="0"/>
    <x v="0"/>
    <x v="0"/>
    <x v="0"/>
  </r>
  <r>
    <n v="35"/>
    <x v="27"/>
    <x v="10"/>
    <x v="20"/>
    <x v="0"/>
    <x v="2"/>
    <x v="0"/>
    <x v="4"/>
    <x v="2"/>
    <x v="13"/>
    <x v="13"/>
  </r>
  <r>
    <n v="36"/>
    <x v="28"/>
    <x v="9"/>
    <x v="8"/>
    <x v="0"/>
    <x v="0"/>
    <x v="1"/>
    <x v="0"/>
    <x v="2"/>
    <x v="2"/>
    <x v="2"/>
  </r>
  <r>
    <n v="37"/>
    <x v="29"/>
    <x v="4"/>
    <x v="21"/>
    <x v="1"/>
    <x v="0"/>
    <x v="0"/>
    <x v="1"/>
    <x v="0"/>
    <x v="10"/>
    <x v="10"/>
  </r>
  <r>
    <n v="38"/>
    <x v="30"/>
    <x v="4"/>
    <x v="15"/>
    <x v="3"/>
    <x v="1"/>
    <x v="0"/>
    <x v="2"/>
    <x v="0"/>
    <x v="1"/>
    <x v="1"/>
  </r>
  <r>
    <n v="39"/>
    <x v="31"/>
    <x v="7"/>
    <x v="4"/>
    <x v="3"/>
    <x v="1"/>
    <x v="0"/>
    <x v="0"/>
    <x v="3"/>
    <x v="3"/>
    <x v="3"/>
  </r>
  <r>
    <n v="40"/>
    <x v="32"/>
    <x v="8"/>
    <x v="21"/>
    <x v="0"/>
    <x v="3"/>
    <x v="0"/>
    <x v="0"/>
    <x v="0"/>
    <x v="0"/>
    <x v="0"/>
  </r>
  <r>
    <n v="41"/>
    <x v="33"/>
    <x v="5"/>
    <x v="2"/>
    <x v="2"/>
    <x v="4"/>
    <x v="0"/>
    <x v="0"/>
    <x v="0"/>
    <x v="0"/>
    <x v="0"/>
  </r>
  <r>
    <n v="42"/>
    <x v="26"/>
    <x v="2"/>
    <x v="16"/>
    <x v="1"/>
    <x v="1"/>
    <x v="0"/>
    <x v="2"/>
    <x v="0"/>
    <x v="1"/>
    <x v="1"/>
  </r>
  <r>
    <n v="43"/>
    <x v="34"/>
    <x v="8"/>
    <x v="22"/>
    <x v="0"/>
    <x v="1"/>
    <x v="0"/>
    <x v="2"/>
    <x v="1"/>
    <x v="8"/>
    <x v="8"/>
  </r>
  <r>
    <n v="44"/>
    <x v="35"/>
    <x v="11"/>
    <x v="23"/>
    <x v="0"/>
    <x v="2"/>
    <x v="0"/>
    <x v="0"/>
    <x v="1"/>
    <x v="4"/>
    <x v="4"/>
  </r>
  <r>
    <n v="45"/>
    <x v="36"/>
    <x v="10"/>
    <x v="3"/>
    <x v="1"/>
    <x v="0"/>
    <x v="0"/>
    <x v="0"/>
    <x v="1"/>
    <x v="4"/>
    <x v="4"/>
  </r>
  <r>
    <n v="46"/>
    <x v="21"/>
    <x v="9"/>
    <x v="24"/>
    <x v="3"/>
    <x v="4"/>
    <x v="0"/>
    <x v="3"/>
    <x v="4"/>
    <x v="7"/>
    <x v="7"/>
  </r>
  <r>
    <n v="47"/>
    <x v="37"/>
    <x v="11"/>
    <x v="25"/>
    <x v="2"/>
    <x v="1"/>
    <x v="1"/>
    <x v="0"/>
    <x v="0"/>
    <x v="0"/>
    <x v="0"/>
  </r>
  <r>
    <n v="48"/>
    <x v="38"/>
    <x v="8"/>
    <x v="26"/>
    <x v="1"/>
    <x v="4"/>
    <x v="1"/>
    <x v="3"/>
    <x v="0"/>
    <x v="5"/>
    <x v="5"/>
  </r>
  <r>
    <n v="49"/>
    <x v="39"/>
    <x v="7"/>
    <x v="27"/>
    <x v="0"/>
    <x v="1"/>
    <x v="1"/>
    <x v="0"/>
    <x v="0"/>
    <x v="0"/>
    <x v="0"/>
  </r>
  <r>
    <n v="50"/>
    <x v="40"/>
    <x v="7"/>
    <x v="28"/>
    <x v="0"/>
    <x v="2"/>
    <x v="0"/>
    <x v="4"/>
    <x v="0"/>
    <x v="8"/>
    <x v="8"/>
  </r>
  <r>
    <n v="51"/>
    <x v="41"/>
    <x v="11"/>
    <x v="29"/>
    <x v="1"/>
    <x v="1"/>
    <x v="0"/>
    <x v="0"/>
    <x v="2"/>
    <x v="2"/>
    <x v="2"/>
  </r>
  <r>
    <n v="52"/>
    <x v="42"/>
    <x v="5"/>
    <x v="24"/>
    <x v="1"/>
    <x v="2"/>
    <x v="0"/>
    <x v="3"/>
    <x v="2"/>
    <x v="9"/>
    <x v="9"/>
  </r>
  <r>
    <n v="53"/>
    <x v="43"/>
    <x v="2"/>
    <x v="8"/>
    <x v="2"/>
    <x v="1"/>
    <x v="0"/>
    <x v="4"/>
    <x v="0"/>
    <x v="8"/>
    <x v="8"/>
  </r>
  <r>
    <n v="54"/>
    <x v="22"/>
    <x v="5"/>
    <x v="30"/>
    <x v="2"/>
    <x v="1"/>
    <x v="1"/>
    <x v="4"/>
    <x v="0"/>
    <x v="8"/>
    <x v="8"/>
  </r>
  <r>
    <n v="55"/>
    <x v="44"/>
    <x v="6"/>
    <x v="19"/>
    <x v="0"/>
    <x v="2"/>
    <x v="0"/>
    <x v="2"/>
    <x v="3"/>
    <x v="12"/>
    <x v="12"/>
  </r>
  <r>
    <n v="56"/>
    <x v="45"/>
    <x v="7"/>
    <x v="16"/>
    <x v="0"/>
    <x v="4"/>
    <x v="1"/>
    <x v="0"/>
    <x v="2"/>
    <x v="2"/>
    <x v="2"/>
  </r>
  <r>
    <n v="57"/>
    <x v="46"/>
    <x v="3"/>
    <x v="31"/>
    <x v="1"/>
    <x v="2"/>
    <x v="1"/>
    <x v="2"/>
    <x v="3"/>
    <x v="12"/>
    <x v="12"/>
  </r>
  <r>
    <n v="58"/>
    <x v="47"/>
    <x v="0"/>
    <x v="32"/>
    <x v="1"/>
    <x v="1"/>
    <x v="1"/>
    <x v="4"/>
    <x v="1"/>
    <x v="9"/>
    <x v="9"/>
  </r>
  <r>
    <n v="59"/>
    <x v="21"/>
    <x v="9"/>
    <x v="33"/>
    <x v="0"/>
    <x v="1"/>
    <x v="0"/>
    <x v="3"/>
    <x v="0"/>
    <x v="5"/>
    <x v="5"/>
  </r>
  <r>
    <n v="60"/>
    <x v="48"/>
    <x v="6"/>
    <x v="34"/>
    <x v="0"/>
    <x v="2"/>
    <x v="0"/>
    <x v="1"/>
    <x v="1"/>
    <x v="1"/>
    <x v="1"/>
  </r>
  <r>
    <n v="61"/>
    <x v="49"/>
    <x v="5"/>
    <x v="35"/>
    <x v="0"/>
    <x v="0"/>
    <x v="1"/>
    <x v="2"/>
    <x v="3"/>
    <x v="12"/>
    <x v="12"/>
  </r>
  <r>
    <n v="62"/>
    <x v="50"/>
    <x v="2"/>
    <x v="32"/>
    <x v="0"/>
    <x v="3"/>
    <x v="0"/>
    <x v="1"/>
    <x v="0"/>
    <x v="10"/>
    <x v="10"/>
  </r>
  <r>
    <n v="63"/>
    <x v="45"/>
    <x v="7"/>
    <x v="25"/>
    <x v="1"/>
    <x v="0"/>
    <x v="0"/>
    <x v="1"/>
    <x v="0"/>
    <x v="10"/>
    <x v="10"/>
  </r>
  <r>
    <n v="64"/>
    <x v="45"/>
    <x v="7"/>
    <x v="3"/>
    <x v="0"/>
    <x v="4"/>
    <x v="0"/>
    <x v="0"/>
    <x v="4"/>
    <x v="12"/>
    <x v="12"/>
  </r>
  <r>
    <n v="65"/>
    <x v="51"/>
    <x v="7"/>
    <x v="36"/>
    <x v="0"/>
    <x v="1"/>
    <x v="1"/>
    <x v="3"/>
    <x v="0"/>
    <x v="5"/>
    <x v="5"/>
  </r>
  <r>
    <n v="66"/>
    <x v="52"/>
    <x v="3"/>
    <x v="24"/>
    <x v="1"/>
    <x v="2"/>
    <x v="0"/>
    <x v="0"/>
    <x v="3"/>
    <x v="3"/>
    <x v="3"/>
  </r>
  <r>
    <n v="67"/>
    <x v="50"/>
    <x v="2"/>
    <x v="9"/>
    <x v="3"/>
    <x v="2"/>
    <x v="0"/>
    <x v="0"/>
    <x v="0"/>
    <x v="0"/>
    <x v="0"/>
  </r>
  <r>
    <n v="68"/>
    <x v="53"/>
    <x v="0"/>
    <x v="34"/>
    <x v="1"/>
    <x v="4"/>
    <x v="0"/>
    <x v="0"/>
    <x v="4"/>
    <x v="12"/>
    <x v="12"/>
  </r>
  <r>
    <n v="69"/>
    <x v="4"/>
    <x v="4"/>
    <x v="28"/>
    <x v="0"/>
    <x v="3"/>
    <x v="0"/>
    <x v="2"/>
    <x v="4"/>
    <x v="10"/>
    <x v="10"/>
  </r>
  <r>
    <n v="70"/>
    <x v="54"/>
    <x v="0"/>
    <x v="29"/>
    <x v="0"/>
    <x v="2"/>
    <x v="0"/>
    <x v="1"/>
    <x v="0"/>
    <x v="10"/>
    <x v="10"/>
  </r>
  <r>
    <n v="71"/>
    <x v="55"/>
    <x v="8"/>
    <x v="27"/>
    <x v="0"/>
    <x v="2"/>
    <x v="1"/>
    <x v="1"/>
    <x v="4"/>
    <x v="14"/>
    <x v="14"/>
  </r>
  <r>
    <n v="72"/>
    <x v="56"/>
    <x v="9"/>
    <x v="37"/>
    <x v="0"/>
    <x v="3"/>
    <x v="0"/>
    <x v="0"/>
    <x v="3"/>
    <x v="3"/>
    <x v="3"/>
  </r>
  <r>
    <n v="73"/>
    <x v="57"/>
    <x v="2"/>
    <x v="1"/>
    <x v="2"/>
    <x v="1"/>
    <x v="1"/>
    <x v="0"/>
    <x v="1"/>
    <x v="4"/>
    <x v="4"/>
  </r>
  <r>
    <n v="74"/>
    <x v="58"/>
    <x v="9"/>
    <x v="12"/>
    <x v="1"/>
    <x v="1"/>
    <x v="1"/>
    <x v="2"/>
    <x v="0"/>
    <x v="1"/>
    <x v="1"/>
  </r>
  <r>
    <n v="75"/>
    <x v="40"/>
    <x v="7"/>
    <x v="20"/>
    <x v="3"/>
    <x v="2"/>
    <x v="0"/>
    <x v="2"/>
    <x v="3"/>
    <x v="12"/>
    <x v="12"/>
  </r>
  <r>
    <n v="76"/>
    <x v="59"/>
    <x v="2"/>
    <x v="8"/>
    <x v="1"/>
    <x v="1"/>
    <x v="1"/>
    <x v="3"/>
    <x v="4"/>
    <x v="7"/>
    <x v="7"/>
  </r>
  <r>
    <n v="77"/>
    <x v="60"/>
    <x v="3"/>
    <x v="38"/>
    <x v="0"/>
    <x v="2"/>
    <x v="1"/>
    <x v="3"/>
    <x v="3"/>
    <x v="15"/>
    <x v="15"/>
  </r>
  <r>
    <n v="78"/>
    <x v="57"/>
    <x v="2"/>
    <x v="39"/>
    <x v="0"/>
    <x v="0"/>
    <x v="0"/>
    <x v="2"/>
    <x v="0"/>
    <x v="1"/>
    <x v="1"/>
  </r>
  <r>
    <n v="79"/>
    <x v="61"/>
    <x v="3"/>
    <x v="23"/>
    <x v="3"/>
    <x v="1"/>
    <x v="0"/>
    <x v="0"/>
    <x v="1"/>
    <x v="4"/>
    <x v="4"/>
  </r>
  <r>
    <n v="80"/>
    <x v="62"/>
    <x v="2"/>
    <x v="13"/>
    <x v="3"/>
    <x v="2"/>
    <x v="0"/>
    <x v="0"/>
    <x v="0"/>
    <x v="0"/>
    <x v="0"/>
  </r>
  <r>
    <n v="81"/>
    <x v="63"/>
    <x v="9"/>
    <x v="40"/>
    <x v="0"/>
    <x v="1"/>
    <x v="0"/>
    <x v="3"/>
    <x v="0"/>
    <x v="5"/>
    <x v="5"/>
  </r>
  <r>
    <n v="82"/>
    <x v="34"/>
    <x v="8"/>
    <x v="6"/>
    <x v="2"/>
    <x v="3"/>
    <x v="0"/>
    <x v="2"/>
    <x v="1"/>
    <x v="8"/>
    <x v="8"/>
  </r>
  <r>
    <n v="83"/>
    <x v="42"/>
    <x v="5"/>
    <x v="41"/>
    <x v="0"/>
    <x v="1"/>
    <x v="0"/>
    <x v="0"/>
    <x v="0"/>
    <x v="0"/>
    <x v="0"/>
  </r>
  <r>
    <n v="84"/>
    <x v="64"/>
    <x v="1"/>
    <x v="8"/>
    <x v="0"/>
    <x v="1"/>
    <x v="1"/>
    <x v="2"/>
    <x v="0"/>
    <x v="1"/>
    <x v="1"/>
  </r>
  <r>
    <n v="85"/>
    <x v="65"/>
    <x v="1"/>
    <x v="4"/>
    <x v="1"/>
    <x v="4"/>
    <x v="1"/>
    <x v="0"/>
    <x v="3"/>
    <x v="3"/>
    <x v="3"/>
  </r>
  <r>
    <n v="86"/>
    <x v="66"/>
    <x v="1"/>
    <x v="11"/>
    <x v="1"/>
    <x v="0"/>
    <x v="0"/>
    <x v="0"/>
    <x v="2"/>
    <x v="2"/>
    <x v="2"/>
  </r>
  <r>
    <n v="87"/>
    <x v="67"/>
    <x v="11"/>
    <x v="42"/>
    <x v="2"/>
    <x v="4"/>
    <x v="1"/>
    <x v="3"/>
    <x v="0"/>
    <x v="5"/>
    <x v="5"/>
  </r>
  <r>
    <n v="88"/>
    <x v="68"/>
    <x v="10"/>
    <x v="8"/>
    <x v="0"/>
    <x v="2"/>
    <x v="0"/>
    <x v="0"/>
    <x v="1"/>
    <x v="4"/>
    <x v="4"/>
  </r>
  <r>
    <n v="89"/>
    <x v="69"/>
    <x v="4"/>
    <x v="3"/>
    <x v="0"/>
    <x v="1"/>
    <x v="0"/>
    <x v="3"/>
    <x v="0"/>
    <x v="5"/>
    <x v="5"/>
  </r>
  <r>
    <n v="90"/>
    <x v="70"/>
    <x v="4"/>
    <x v="35"/>
    <x v="0"/>
    <x v="2"/>
    <x v="0"/>
    <x v="0"/>
    <x v="0"/>
    <x v="0"/>
    <x v="0"/>
  </r>
  <r>
    <n v="91"/>
    <x v="71"/>
    <x v="3"/>
    <x v="42"/>
    <x v="3"/>
    <x v="0"/>
    <x v="0"/>
    <x v="4"/>
    <x v="0"/>
    <x v="8"/>
    <x v="8"/>
  </r>
  <r>
    <n v="92"/>
    <x v="8"/>
    <x v="7"/>
    <x v="2"/>
    <x v="1"/>
    <x v="4"/>
    <x v="0"/>
    <x v="2"/>
    <x v="3"/>
    <x v="12"/>
    <x v="12"/>
  </r>
  <r>
    <n v="93"/>
    <x v="72"/>
    <x v="5"/>
    <x v="43"/>
    <x v="2"/>
    <x v="1"/>
    <x v="1"/>
    <x v="0"/>
    <x v="0"/>
    <x v="0"/>
    <x v="0"/>
  </r>
  <r>
    <n v="94"/>
    <x v="73"/>
    <x v="1"/>
    <x v="6"/>
    <x v="3"/>
    <x v="3"/>
    <x v="0"/>
    <x v="0"/>
    <x v="3"/>
    <x v="3"/>
    <x v="3"/>
  </r>
  <r>
    <n v="95"/>
    <x v="74"/>
    <x v="9"/>
    <x v="44"/>
    <x v="1"/>
    <x v="4"/>
    <x v="0"/>
    <x v="3"/>
    <x v="3"/>
    <x v="15"/>
    <x v="15"/>
  </r>
  <r>
    <n v="96"/>
    <x v="2"/>
    <x v="2"/>
    <x v="37"/>
    <x v="1"/>
    <x v="1"/>
    <x v="0"/>
    <x v="0"/>
    <x v="3"/>
    <x v="3"/>
    <x v="3"/>
  </r>
  <r>
    <n v="97"/>
    <x v="75"/>
    <x v="9"/>
    <x v="17"/>
    <x v="2"/>
    <x v="2"/>
    <x v="0"/>
    <x v="3"/>
    <x v="1"/>
    <x v="16"/>
    <x v="16"/>
  </r>
  <r>
    <n v="98"/>
    <x v="76"/>
    <x v="4"/>
    <x v="8"/>
    <x v="3"/>
    <x v="4"/>
    <x v="1"/>
    <x v="0"/>
    <x v="2"/>
    <x v="2"/>
    <x v="2"/>
  </r>
  <r>
    <n v="99"/>
    <x v="77"/>
    <x v="10"/>
    <x v="43"/>
    <x v="0"/>
    <x v="0"/>
    <x v="1"/>
    <x v="2"/>
    <x v="4"/>
    <x v="10"/>
    <x v="10"/>
  </r>
  <r>
    <n v="100"/>
    <x v="74"/>
    <x v="9"/>
    <x v="13"/>
    <x v="3"/>
    <x v="2"/>
    <x v="1"/>
    <x v="0"/>
    <x v="1"/>
    <x v="4"/>
    <x v="4"/>
  </r>
  <r>
    <n v="101"/>
    <x v="78"/>
    <x v="11"/>
    <x v="45"/>
    <x v="0"/>
    <x v="1"/>
    <x v="0"/>
    <x v="4"/>
    <x v="1"/>
    <x v="9"/>
    <x v="9"/>
  </r>
  <r>
    <n v="102"/>
    <x v="79"/>
    <x v="6"/>
    <x v="40"/>
    <x v="3"/>
    <x v="1"/>
    <x v="0"/>
    <x v="0"/>
    <x v="1"/>
    <x v="4"/>
    <x v="4"/>
  </r>
  <r>
    <n v="103"/>
    <x v="80"/>
    <x v="6"/>
    <x v="9"/>
    <x v="0"/>
    <x v="2"/>
    <x v="0"/>
    <x v="3"/>
    <x v="0"/>
    <x v="5"/>
    <x v="5"/>
  </r>
  <r>
    <n v="104"/>
    <x v="81"/>
    <x v="10"/>
    <x v="2"/>
    <x v="3"/>
    <x v="4"/>
    <x v="0"/>
    <x v="4"/>
    <x v="1"/>
    <x v="9"/>
    <x v="9"/>
  </r>
  <r>
    <n v="105"/>
    <x v="82"/>
    <x v="1"/>
    <x v="29"/>
    <x v="1"/>
    <x v="2"/>
    <x v="0"/>
    <x v="3"/>
    <x v="1"/>
    <x v="16"/>
    <x v="16"/>
  </r>
  <r>
    <n v="106"/>
    <x v="83"/>
    <x v="9"/>
    <x v="26"/>
    <x v="3"/>
    <x v="0"/>
    <x v="1"/>
    <x v="0"/>
    <x v="1"/>
    <x v="4"/>
    <x v="4"/>
  </r>
  <r>
    <n v="107"/>
    <x v="20"/>
    <x v="4"/>
    <x v="0"/>
    <x v="2"/>
    <x v="4"/>
    <x v="0"/>
    <x v="2"/>
    <x v="0"/>
    <x v="1"/>
    <x v="1"/>
  </r>
  <r>
    <n v="108"/>
    <x v="84"/>
    <x v="6"/>
    <x v="40"/>
    <x v="0"/>
    <x v="4"/>
    <x v="1"/>
    <x v="0"/>
    <x v="0"/>
    <x v="0"/>
    <x v="0"/>
  </r>
  <r>
    <n v="109"/>
    <x v="49"/>
    <x v="5"/>
    <x v="46"/>
    <x v="0"/>
    <x v="1"/>
    <x v="0"/>
    <x v="0"/>
    <x v="0"/>
    <x v="0"/>
    <x v="0"/>
  </r>
  <r>
    <n v="110"/>
    <x v="85"/>
    <x v="11"/>
    <x v="4"/>
    <x v="1"/>
    <x v="1"/>
    <x v="0"/>
    <x v="0"/>
    <x v="3"/>
    <x v="3"/>
    <x v="3"/>
  </r>
  <r>
    <n v="111"/>
    <x v="28"/>
    <x v="9"/>
    <x v="5"/>
    <x v="0"/>
    <x v="3"/>
    <x v="0"/>
    <x v="0"/>
    <x v="0"/>
    <x v="0"/>
    <x v="0"/>
  </r>
  <r>
    <n v="112"/>
    <x v="86"/>
    <x v="5"/>
    <x v="8"/>
    <x v="0"/>
    <x v="2"/>
    <x v="0"/>
    <x v="1"/>
    <x v="0"/>
    <x v="10"/>
    <x v="10"/>
  </r>
  <r>
    <n v="113"/>
    <x v="86"/>
    <x v="5"/>
    <x v="2"/>
    <x v="0"/>
    <x v="1"/>
    <x v="0"/>
    <x v="3"/>
    <x v="3"/>
    <x v="15"/>
    <x v="15"/>
  </r>
  <r>
    <n v="114"/>
    <x v="87"/>
    <x v="9"/>
    <x v="36"/>
    <x v="0"/>
    <x v="1"/>
    <x v="1"/>
    <x v="1"/>
    <x v="1"/>
    <x v="1"/>
    <x v="1"/>
  </r>
  <r>
    <n v="115"/>
    <x v="85"/>
    <x v="11"/>
    <x v="12"/>
    <x v="0"/>
    <x v="1"/>
    <x v="0"/>
    <x v="3"/>
    <x v="0"/>
    <x v="5"/>
    <x v="5"/>
  </r>
  <r>
    <n v="116"/>
    <x v="88"/>
    <x v="8"/>
    <x v="34"/>
    <x v="1"/>
    <x v="2"/>
    <x v="0"/>
    <x v="0"/>
    <x v="4"/>
    <x v="12"/>
    <x v="12"/>
  </r>
  <r>
    <n v="117"/>
    <x v="57"/>
    <x v="2"/>
    <x v="8"/>
    <x v="0"/>
    <x v="4"/>
    <x v="0"/>
    <x v="2"/>
    <x v="1"/>
    <x v="8"/>
    <x v="8"/>
  </r>
  <r>
    <n v="118"/>
    <x v="89"/>
    <x v="3"/>
    <x v="47"/>
    <x v="1"/>
    <x v="4"/>
    <x v="0"/>
    <x v="3"/>
    <x v="4"/>
    <x v="7"/>
    <x v="7"/>
  </r>
  <r>
    <n v="119"/>
    <x v="87"/>
    <x v="9"/>
    <x v="31"/>
    <x v="0"/>
    <x v="2"/>
    <x v="0"/>
    <x v="0"/>
    <x v="3"/>
    <x v="3"/>
    <x v="3"/>
  </r>
  <r>
    <n v="120"/>
    <x v="1"/>
    <x v="1"/>
    <x v="29"/>
    <x v="1"/>
    <x v="0"/>
    <x v="0"/>
    <x v="2"/>
    <x v="3"/>
    <x v="12"/>
    <x v="12"/>
  </r>
  <r>
    <n v="121"/>
    <x v="90"/>
    <x v="6"/>
    <x v="41"/>
    <x v="3"/>
    <x v="3"/>
    <x v="0"/>
    <x v="0"/>
    <x v="4"/>
    <x v="12"/>
    <x v="12"/>
  </r>
  <r>
    <n v="122"/>
    <x v="79"/>
    <x v="6"/>
    <x v="35"/>
    <x v="0"/>
    <x v="1"/>
    <x v="0"/>
    <x v="2"/>
    <x v="2"/>
    <x v="11"/>
    <x v="11"/>
  </r>
  <r>
    <n v="123"/>
    <x v="91"/>
    <x v="11"/>
    <x v="46"/>
    <x v="1"/>
    <x v="2"/>
    <x v="0"/>
    <x v="0"/>
    <x v="4"/>
    <x v="12"/>
    <x v="12"/>
  </r>
  <r>
    <n v="124"/>
    <x v="92"/>
    <x v="1"/>
    <x v="22"/>
    <x v="0"/>
    <x v="1"/>
    <x v="0"/>
    <x v="0"/>
    <x v="2"/>
    <x v="2"/>
    <x v="2"/>
  </r>
  <r>
    <n v="125"/>
    <x v="92"/>
    <x v="1"/>
    <x v="8"/>
    <x v="0"/>
    <x v="0"/>
    <x v="0"/>
    <x v="3"/>
    <x v="1"/>
    <x v="16"/>
    <x v="16"/>
  </r>
  <r>
    <n v="126"/>
    <x v="93"/>
    <x v="11"/>
    <x v="22"/>
    <x v="0"/>
    <x v="0"/>
    <x v="0"/>
    <x v="2"/>
    <x v="0"/>
    <x v="1"/>
    <x v="1"/>
  </r>
  <r>
    <n v="127"/>
    <x v="94"/>
    <x v="1"/>
    <x v="42"/>
    <x v="2"/>
    <x v="2"/>
    <x v="0"/>
    <x v="2"/>
    <x v="1"/>
    <x v="8"/>
    <x v="8"/>
  </r>
  <r>
    <n v="128"/>
    <x v="95"/>
    <x v="5"/>
    <x v="32"/>
    <x v="0"/>
    <x v="1"/>
    <x v="0"/>
    <x v="1"/>
    <x v="4"/>
    <x v="14"/>
    <x v="14"/>
  </r>
  <r>
    <n v="129"/>
    <x v="96"/>
    <x v="8"/>
    <x v="11"/>
    <x v="3"/>
    <x v="2"/>
    <x v="0"/>
    <x v="2"/>
    <x v="0"/>
    <x v="1"/>
    <x v="1"/>
  </r>
  <r>
    <n v="130"/>
    <x v="67"/>
    <x v="11"/>
    <x v="12"/>
    <x v="0"/>
    <x v="4"/>
    <x v="0"/>
    <x v="2"/>
    <x v="0"/>
    <x v="1"/>
    <x v="1"/>
  </r>
  <r>
    <n v="131"/>
    <x v="97"/>
    <x v="0"/>
    <x v="33"/>
    <x v="1"/>
    <x v="1"/>
    <x v="0"/>
    <x v="3"/>
    <x v="0"/>
    <x v="5"/>
    <x v="5"/>
  </r>
  <r>
    <n v="132"/>
    <x v="97"/>
    <x v="0"/>
    <x v="37"/>
    <x v="0"/>
    <x v="1"/>
    <x v="1"/>
    <x v="4"/>
    <x v="3"/>
    <x v="0"/>
    <x v="0"/>
  </r>
  <r>
    <n v="133"/>
    <x v="1"/>
    <x v="1"/>
    <x v="6"/>
    <x v="0"/>
    <x v="1"/>
    <x v="0"/>
    <x v="0"/>
    <x v="0"/>
    <x v="0"/>
    <x v="0"/>
  </r>
  <r>
    <n v="134"/>
    <x v="1"/>
    <x v="1"/>
    <x v="20"/>
    <x v="0"/>
    <x v="0"/>
    <x v="0"/>
    <x v="0"/>
    <x v="2"/>
    <x v="2"/>
    <x v="2"/>
  </r>
  <r>
    <n v="135"/>
    <x v="90"/>
    <x v="6"/>
    <x v="18"/>
    <x v="3"/>
    <x v="4"/>
    <x v="0"/>
    <x v="0"/>
    <x v="2"/>
    <x v="2"/>
    <x v="2"/>
  </r>
  <r>
    <n v="136"/>
    <x v="90"/>
    <x v="6"/>
    <x v="8"/>
    <x v="1"/>
    <x v="1"/>
    <x v="1"/>
    <x v="3"/>
    <x v="3"/>
    <x v="15"/>
    <x v="15"/>
  </r>
  <r>
    <n v="137"/>
    <x v="98"/>
    <x v="6"/>
    <x v="45"/>
    <x v="0"/>
    <x v="2"/>
    <x v="0"/>
    <x v="0"/>
    <x v="0"/>
    <x v="0"/>
    <x v="0"/>
  </r>
  <r>
    <n v="138"/>
    <x v="98"/>
    <x v="6"/>
    <x v="10"/>
    <x v="1"/>
    <x v="0"/>
    <x v="0"/>
    <x v="0"/>
    <x v="2"/>
    <x v="2"/>
    <x v="2"/>
  </r>
  <r>
    <n v="139"/>
    <x v="99"/>
    <x v="7"/>
    <x v="48"/>
    <x v="1"/>
    <x v="0"/>
    <x v="0"/>
    <x v="1"/>
    <x v="4"/>
    <x v="14"/>
    <x v="14"/>
  </r>
  <r>
    <n v="140"/>
    <x v="79"/>
    <x v="6"/>
    <x v="17"/>
    <x v="1"/>
    <x v="0"/>
    <x v="0"/>
    <x v="2"/>
    <x v="1"/>
    <x v="8"/>
    <x v="8"/>
  </r>
  <r>
    <n v="141"/>
    <x v="100"/>
    <x v="8"/>
    <x v="44"/>
    <x v="1"/>
    <x v="4"/>
    <x v="0"/>
    <x v="2"/>
    <x v="0"/>
    <x v="1"/>
    <x v="1"/>
  </r>
  <r>
    <n v="142"/>
    <x v="101"/>
    <x v="5"/>
    <x v="44"/>
    <x v="0"/>
    <x v="1"/>
    <x v="0"/>
    <x v="4"/>
    <x v="0"/>
    <x v="8"/>
    <x v="8"/>
  </r>
  <r>
    <n v="143"/>
    <x v="54"/>
    <x v="0"/>
    <x v="47"/>
    <x v="0"/>
    <x v="1"/>
    <x v="0"/>
    <x v="0"/>
    <x v="0"/>
    <x v="0"/>
    <x v="0"/>
  </r>
  <r>
    <n v="144"/>
    <x v="102"/>
    <x v="2"/>
    <x v="44"/>
    <x v="0"/>
    <x v="3"/>
    <x v="0"/>
    <x v="4"/>
    <x v="0"/>
    <x v="8"/>
    <x v="8"/>
  </r>
  <r>
    <n v="145"/>
    <x v="102"/>
    <x v="2"/>
    <x v="33"/>
    <x v="2"/>
    <x v="3"/>
    <x v="0"/>
    <x v="1"/>
    <x v="0"/>
    <x v="10"/>
    <x v="10"/>
  </r>
  <r>
    <n v="146"/>
    <x v="103"/>
    <x v="8"/>
    <x v="39"/>
    <x v="1"/>
    <x v="2"/>
    <x v="1"/>
    <x v="0"/>
    <x v="3"/>
    <x v="3"/>
    <x v="3"/>
  </r>
  <r>
    <n v="147"/>
    <x v="104"/>
    <x v="2"/>
    <x v="10"/>
    <x v="0"/>
    <x v="4"/>
    <x v="0"/>
    <x v="4"/>
    <x v="4"/>
    <x v="1"/>
    <x v="1"/>
  </r>
  <r>
    <n v="148"/>
    <x v="105"/>
    <x v="7"/>
    <x v="23"/>
    <x v="0"/>
    <x v="2"/>
    <x v="0"/>
    <x v="0"/>
    <x v="3"/>
    <x v="3"/>
    <x v="3"/>
  </r>
  <r>
    <n v="149"/>
    <x v="28"/>
    <x v="9"/>
    <x v="8"/>
    <x v="3"/>
    <x v="4"/>
    <x v="0"/>
    <x v="2"/>
    <x v="3"/>
    <x v="12"/>
    <x v="12"/>
  </r>
  <r>
    <n v="150"/>
    <x v="96"/>
    <x v="8"/>
    <x v="26"/>
    <x v="3"/>
    <x v="2"/>
    <x v="0"/>
    <x v="4"/>
    <x v="3"/>
    <x v="0"/>
    <x v="0"/>
  </r>
  <r>
    <n v="151"/>
    <x v="106"/>
    <x v="9"/>
    <x v="8"/>
    <x v="0"/>
    <x v="1"/>
    <x v="0"/>
    <x v="2"/>
    <x v="0"/>
    <x v="1"/>
    <x v="1"/>
  </r>
  <r>
    <n v="152"/>
    <x v="107"/>
    <x v="6"/>
    <x v="25"/>
    <x v="3"/>
    <x v="4"/>
    <x v="1"/>
    <x v="1"/>
    <x v="1"/>
    <x v="1"/>
    <x v="1"/>
  </r>
  <r>
    <n v="153"/>
    <x v="107"/>
    <x v="6"/>
    <x v="44"/>
    <x v="0"/>
    <x v="3"/>
    <x v="0"/>
    <x v="0"/>
    <x v="1"/>
    <x v="4"/>
    <x v="4"/>
  </r>
  <r>
    <n v="154"/>
    <x v="108"/>
    <x v="6"/>
    <x v="8"/>
    <x v="0"/>
    <x v="1"/>
    <x v="1"/>
    <x v="2"/>
    <x v="2"/>
    <x v="11"/>
    <x v="11"/>
  </r>
  <r>
    <n v="155"/>
    <x v="109"/>
    <x v="10"/>
    <x v="1"/>
    <x v="1"/>
    <x v="3"/>
    <x v="0"/>
    <x v="1"/>
    <x v="4"/>
    <x v="14"/>
    <x v="14"/>
  </r>
  <r>
    <n v="156"/>
    <x v="110"/>
    <x v="10"/>
    <x v="44"/>
    <x v="0"/>
    <x v="4"/>
    <x v="0"/>
    <x v="2"/>
    <x v="0"/>
    <x v="1"/>
    <x v="1"/>
  </r>
  <r>
    <n v="157"/>
    <x v="111"/>
    <x v="6"/>
    <x v="40"/>
    <x v="0"/>
    <x v="1"/>
    <x v="0"/>
    <x v="0"/>
    <x v="0"/>
    <x v="0"/>
    <x v="0"/>
  </r>
  <r>
    <n v="158"/>
    <x v="112"/>
    <x v="4"/>
    <x v="43"/>
    <x v="1"/>
    <x v="1"/>
    <x v="1"/>
    <x v="0"/>
    <x v="3"/>
    <x v="3"/>
    <x v="3"/>
  </r>
  <r>
    <n v="159"/>
    <x v="50"/>
    <x v="2"/>
    <x v="47"/>
    <x v="1"/>
    <x v="0"/>
    <x v="0"/>
    <x v="0"/>
    <x v="3"/>
    <x v="3"/>
    <x v="3"/>
  </r>
  <r>
    <n v="160"/>
    <x v="50"/>
    <x v="2"/>
    <x v="46"/>
    <x v="1"/>
    <x v="1"/>
    <x v="0"/>
    <x v="3"/>
    <x v="4"/>
    <x v="7"/>
    <x v="7"/>
  </r>
  <r>
    <n v="161"/>
    <x v="113"/>
    <x v="0"/>
    <x v="23"/>
    <x v="2"/>
    <x v="1"/>
    <x v="0"/>
    <x v="3"/>
    <x v="0"/>
    <x v="5"/>
    <x v="5"/>
  </r>
  <r>
    <n v="162"/>
    <x v="113"/>
    <x v="0"/>
    <x v="37"/>
    <x v="1"/>
    <x v="4"/>
    <x v="0"/>
    <x v="0"/>
    <x v="0"/>
    <x v="0"/>
    <x v="0"/>
  </r>
  <r>
    <n v="163"/>
    <x v="113"/>
    <x v="0"/>
    <x v="34"/>
    <x v="0"/>
    <x v="3"/>
    <x v="0"/>
    <x v="4"/>
    <x v="0"/>
    <x v="8"/>
    <x v="8"/>
  </r>
  <r>
    <n v="164"/>
    <x v="114"/>
    <x v="4"/>
    <x v="23"/>
    <x v="1"/>
    <x v="3"/>
    <x v="0"/>
    <x v="4"/>
    <x v="4"/>
    <x v="1"/>
    <x v="1"/>
  </r>
  <r>
    <n v="165"/>
    <x v="115"/>
    <x v="4"/>
    <x v="40"/>
    <x v="1"/>
    <x v="1"/>
    <x v="0"/>
    <x v="4"/>
    <x v="0"/>
    <x v="8"/>
    <x v="8"/>
  </r>
  <r>
    <n v="166"/>
    <x v="98"/>
    <x v="6"/>
    <x v="28"/>
    <x v="2"/>
    <x v="0"/>
    <x v="0"/>
    <x v="0"/>
    <x v="2"/>
    <x v="2"/>
    <x v="2"/>
  </r>
  <r>
    <n v="167"/>
    <x v="116"/>
    <x v="11"/>
    <x v="15"/>
    <x v="1"/>
    <x v="1"/>
    <x v="1"/>
    <x v="2"/>
    <x v="0"/>
    <x v="1"/>
    <x v="1"/>
  </r>
  <r>
    <n v="168"/>
    <x v="116"/>
    <x v="11"/>
    <x v="2"/>
    <x v="3"/>
    <x v="2"/>
    <x v="0"/>
    <x v="3"/>
    <x v="4"/>
    <x v="7"/>
    <x v="7"/>
  </r>
  <r>
    <n v="169"/>
    <x v="117"/>
    <x v="5"/>
    <x v="28"/>
    <x v="0"/>
    <x v="1"/>
    <x v="0"/>
    <x v="0"/>
    <x v="3"/>
    <x v="3"/>
    <x v="3"/>
  </r>
  <r>
    <n v="170"/>
    <x v="118"/>
    <x v="9"/>
    <x v="8"/>
    <x v="2"/>
    <x v="1"/>
    <x v="1"/>
    <x v="3"/>
    <x v="2"/>
    <x v="9"/>
    <x v="9"/>
  </r>
  <r>
    <n v="171"/>
    <x v="119"/>
    <x v="1"/>
    <x v="3"/>
    <x v="1"/>
    <x v="1"/>
    <x v="0"/>
    <x v="0"/>
    <x v="1"/>
    <x v="4"/>
    <x v="4"/>
  </r>
  <r>
    <n v="172"/>
    <x v="119"/>
    <x v="1"/>
    <x v="49"/>
    <x v="0"/>
    <x v="4"/>
    <x v="1"/>
    <x v="1"/>
    <x v="1"/>
    <x v="1"/>
    <x v="1"/>
  </r>
  <r>
    <n v="173"/>
    <x v="115"/>
    <x v="4"/>
    <x v="8"/>
    <x v="0"/>
    <x v="2"/>
    <x v="0"/>
    <x v="0"/>
    <x v="4"/>
    <x v="12"/>
    <x v="12"/>
  </r>
  <r>
    <n v="174"/>
    <x v="115"/>
    <x v="4"/>
    <x v="10"/>
    <x v="1"/>
    <x v="2"/>
    <x v="0"/>
    <x v="0"/>
    <x v="0"/>
    <x v="0"/>
    <x v="0"/>
  </r>
  <r>
    <n v="175"/>
    <x v="120"/>
    <x v="11"/>
    <x v="8"/>
    <x v="1"/>
    <x v="1"/>
    <x v="0"/>
    <x v="0"/>
    <x v="0"/>
    <x v="0"/>
    <x v="0"/>
  </r>
  <r>
    <n v="176"/>
    <x v="121"/>
    <x v="4"/>
    <x v="49"/>
    <x v="3"/>
    <x v="1"/>
    <x v="1"/>
    <x v="0"/>
    <x v="1"/>
    <x v="4"/>
    <x v="4"/>
  </r>
  <r>
    <n v="177"/>
    <x v="121"/>
    <x v="4"/>
    <x v="44"/>
    <x v="1"/>
    <x v="0"/>
    <x v="1"/>
    <x v="0"/>
    <x v="0"/>
    <x v="0"/>
    <x v="0"/>
  </r>
  <r>
    <n v="178"/>
    <x v="122"/>
    <x v="1"/>
    <x v="8"/>
    <x v="0"/>
    <x v="2"/>
    <x v="0"/>
    <x v="4"/>
    <x v="0"/>
    <x v="8"/>
    <x v="8"/>
  </r>
  <r>
    <n v="179"/>
    <x v="123"/>
    <x v="3"/>
    <x v="48"/>
    <x v="1"/>
    <x v="0"/>
    <x v="1"/>
    <x v="0"/>
    <x v="4"/>
    <x v="12"/>
    <x v="12"/>
  </r>
  <r>
    <n v="180"/>
    <x v="34"/>
    <x v="8"/>
    <x v="19"/>
    <x v="0"/>
    <x v="4"/>
    <x v="1"/>
    <x v="0"/>
    <x v="1"/>
    <x v="4"/>
    <x v="4"/>
  </r>
  <r>
    <n v="181"/>
    <x v="124"/>
    <x v="6"/>
    <x v="38"/>
    <x v="0"/>
    <x v="1"/>
    <x v="1"/>
    <x v="4"/>
    <x v="0"/>
    <x v="8"/>
    <x v="8"/>
  </r>
  <r>
    <n v="182"/>
    <x v="124"/>
    <x v="6"/>
    <x v="14"/>
    <x v="1"/>
    <x v="2"/>
    <x v="0"/>
    <x v="0"/>
    <x v="4"/>
    <x v="12"/>
    <x v="12"/>
  </r>
  <r>
    <n v="183"/>
    <x v="125"/>
    <x v="0"/>
    <x v="13"/>
    <x v="0"/>
    <x v="4"/>
    <x v="0"/>
    <x v="0"/>
    <x v="0"/>
    <x v="0"/>
    <x v="0"/>
  </r>
  <r>
    <n v="184"/>
    <x v="21"/>
    <x v="9"/>
    <x v="20"/>
    <x v="0"/>
    <x v="3"/>
    <x v="0"/>
    <x v="0"/>
    <x v="1"/>
    <x v="4"/>
    <x v="4"/>
  </r>
  <r>
    <n v="185"/>
    <x v="126"/>
    <x v="1"/>
    <x v="22"/>
    <x v="1"/>
    <x v="1"/>
    <x v="1"/>
    <x v="3"/>
    <x v="2"/>
    <x v="9"/>
    <x v="9"/>
  </r>
  <r>
    <n v="186"/>
    <x v="127"/>
    <x v="7"/>
    <x v="49"/>
    <x v="2"/>
    <x v="3"/>
    <x v="0"/>
    <x v="0"/>
    <x v="0"/>
    <x v="0"/>
    <x v="0"/>
  </r>
  <r>
    <n v="187"/>
    <x v="128"/>
    <x v="5"/>
    <x v="23"/>
    <x v="0"/>
    <x v="2"/>
    <x v="0"/>
    <x v="0"/>
    <x v="2"/>
    <x v="2"/>
    <x v="2"/>
  </r>
  <r>
    <n v="188"/>
    <x v="129"/>
    <x v="0"/>
    <x v="19"/>
    <x v="1"/>
    <x v="2"/>
    <x v="1"/>
    <x v="3"/>
    <x v="0"/>
    <x v="5"/>
    <x v="5"/>
  </r>
  <r>
    <n v="189"/>
    <x v="130"/>
    <x v="11"/>
    <x v="6"/>
    <x v="1"/>
    <x v="4"/>
    <x v="0"/>
    <x v="4"/>
    <x v="0"/>
    <x v="8"/>
    <x v="8"/>
  </r>
  <r>
    <n v="190"/>
    <x v="131"/>
    <x v="11"/>
    <x v="20"/>
    <x v="3"/>
    <x v="2"/>
    <x v="0"/>
    <x v="1"/>
    <x v="2"/>
    <x v="6"/>
    <x v="6"/>
  </r>
  <r>
    <n v="191"/>
    <x v="131"/>
    <x v="11"/>
    <x v="5"/>
    <x v="1"/>
    <x v="3"/>
    <x v="0"/>
    <x v="0"/>
    <x v="2"/>
    <x v="2"/>
    <x v="2"/>
  </r>
  <r>
    <n v="192"/>
    <x v="131"/>
    <x v="11"/>
    <x v="0"/>
    <x v="0"/>
    <x v="1"/>
    <x v="0"/>
    <x v="2"/>
    <x v="2"/>
    <x v="11"/>
    <x v="11"/>
  </r>
  <r>
    <n v="193"/>
    <x v="51"/>
    <x v="7"/>
    <x v="30"/>
    <x v="0"/>
    <x v="2"/>
    <x v="0"/>
    <x v="2"/>
    <x v="2"/>
    <x v="11"/>
    <x v="11"/>
  </r>
  <r>
    <n v="194"/>
    <x v="110"/>
    <x v="10"/>
    <x v="36"/>
    <x v="0"/>
    <x v="2"/>
    <x v="0"/>
    <x v="1"/>
    <x v="1"/>
    <x v="1"/>
    <x v="1"/>
  </r>
  <r>
    <n v="195"/>
    <x v="132"/>
    <x v="2"/>
    <x v="8"/>
    <x v="1"/>
    <x v="0"/>
    <x v="1"/>
    <x v="2"/>
    <x v="1"/>
    <x v="8"/>
    <x v="8"/>
  </r>
  <r>
    <n v="196"/>
    <x v="133"/>
    <x v="5"/>
    <x v="14"/>
    <x v="2"/>
    <x v="1"/>
    <x v="0"/>
    <x v="4"/>
    <x v="4"/>
    <x v="1"/>
    <x v="1"/>
  </r>
  <r>
    <n v="197"/>
    <x v="87"/>
    <x v="9"/>
    <x v="1"/>
    <x v="1"/>
    <x v="4"/>
    <x v="0"/>
    <x v="2"/>
    <x v="0"/>
    <x v="1"/>
    <x v="1"/>
  </r>
  <r>
    <n v="198"/>
    <x v="134"/>
    <x v="9"/>
    <x v="13"/>
    <x v="2"/>
    <x v="1"/>
    <x v="0"/>
    <x v="0"/>
    <x v="3"/>
    <x v="3"/>
    <x v="3"/>
  </r>
  <r>
    <n v="199"/>
    <x v="135"/>
    <x v="11"/>
    <x v="3"/>
    <x v="1"/>
    <x v="1"/>
    <x v="1"/>
    <x v="0"/>
    <x v="0"/>
    <x v="0"/>
    <x v="0"/>
  </r>
  <r>
    <n v="200"/>
    <x v="136"/>
    <x v="8"/>
    <x v="19"/>
    <x v="3"/>
    <x v="1"/>
    <x v="0"/>
    <x v="0"/>
    <x v="4"/>
    <x v="12"/>
    <x v="12"/>
  </r>
  <r>
    <n v="201"/>
    <x v="17"/>
    <x v="1"/>
    <x v="8"/>
    <x v="0"/>
    <x v="1"/>
    <x v="0"/>
    <x v="0"/>
    <x v="0"/>
    <x v="0"/>
    <x v="0"/>
  </r>
  <r>
    <n v="202"/>
    <x v="137"/>
    <x v="1"/>
    <x v="7"/>
    <x v="0"/>
    <x v="4"/>
    <x v="0"/>
    <x v="0"/>
    <x v="2"/>
    <x v="2"/>
    <x v="2"/>
  </r>
  <r>
    <n v="203"/>
    <x v="138"/>
    <x v="2"/>
    <x v="8"/>
    <x v="0"/>
    <x v="3"/>
    <x v="1"/>
    <x v="2"/>
    <x v="2"/>
    <x v="11"/>
    <x v="11"/>
  </r>
  <r>
    <n v="204"/>
    <x v="139"/>
    <x v="11"/>
    <x v="4"/>
    <x v="1"/>
    <x v="0"/>
    <x v="0"/>
    <x v="4"/>
    <x v="0"/>
    <x v="8"/>
    <x v="8"/>
  </r>
  <r>
    <n v="205"/>
    <x v="140"/>
    <x v="2"/>
    <x v="48"/>
    <x v="1"/>
    <x v="3"/>
    <x v="1"/>
    <x v="3"/>
    <x v="0"/>
    <x v="5"/>
    <x v="5"/>
  </r>
  <r>
    <n v="206"/>
    <x v="141"/>
    <x v="8"/>
    <x v="42"/>
    <x v="0"/>
    <x v="0"/>
    <x v="0"/>
    <x v="4"/>
    <x v="3"/>
    <x v="0"/>
    <x v="0"/>
  </r>
  <r>
    <n v="207"/>
    <x v="30"/>
    <x v="4"/>
    <x v="12"/>
    <x v="2"/>
    <x v="2"/>
    <x v="0"/>
    <x v="0"/>
    <x v="0"/>
    <x v="0"/>
    <x v="0"/>
  </r>
  <r>
    <n v="208"/>
    <x v="142"/>
    <x v="11"/>
    <x v="8"/>
    <x v="0"/>
    <x v="1"/>
    <x v="0"/>
    <x v="1"/>
    <x v="0"/>
    <x v="10"/>
    <x v="10"/>
  </r>
  <r>
    <n v="209"/>
    <x v="143"/>
    <x v="8"/>
    <x v="13"/>
    <x v="2"/>
    <x v="1"/>
    <x v="1"/>
    <x v="1"/>
    <x v="0"/>
    <x v="10"/>
    <x v="10"/>
  </r>
  <r>
    <n v="210"/>
    <x v="144"/>
    <x v="9"/>
    <x v="36"/>
    <x v="0"/>
    <x v="0"/>
    <x v="1"/>
    <x v="2"/>
    <x v="0"/>
    <x v="1"/>
    <x v="1"/>
  </r>
  <r>
    <n v="211"/>
    <x v="144"/>
    <x v="9"/>
    <x v="48"/>
    <x v="1"/>
    <x v="1"/>
    <x v="0"/>
    <x v="0"/>
    <x v="3"/>
    <x v="3"/>
    <x v="3"/>
  </r>
  <r>
    <n v="212"/>
    <x v="145"/>
    <x v="10"/>
    <x v="38"/>
    <x v="3"/>
    <x v="0"/>
    <x v="0"/>
    <x v="4"/>
    <x v="3"/>
    <x v="0"/>
    <x v="0"/>
  </r>
  <r>
    <n v="213"/>
    <x v="44"/>
    <x v="6"/>
    <x v="12"/>
    <x v="0"/>
    <x v="1"/>
    <x v="0"/>
    <x v="0"/>
    <x v="0"/>
    <x v="0"/>
    <x v="0"/>
  </r>
  <r>
    <n v="214"/>
    <x v="146"/>
    <x v="11"/>
    <x v="4"/>
    <x v="2"/>
    <x v="3"/>
    <x v="1"/>
    <x v="4"/>
    <x v="1"/>
    <x v="9"/>
    <x v="9"/>
  </r>
  <r>
    <n v="215"/>
    <x v="25"/>
    <x v="10"/>
    <x v="29"/>
    <x v="3"/>
    <x v="0"/>
    <x v="1"/>
    <x v="2"/>
    <x v="0"/>
    <x v="1"/>
    <x v="1"/>
  </r>
  <r>
    <n v="216"/>
    <x v="119"/>
    <x v="1"/>
    <x v="37"/>
    <x v="0"/>
    <x v="1"/>
    <x v="1"/>
    <x v="4"/>
    <x v="3"/>
    <x v="0"/>
    <x v="0"/>
  </r>
  <r>
    <n v="217"/>
    <x v="88"/>
    <x v="8"/>
    <x v="46"/>
    <x v="1"/>
    <x v="3"/>
    <x v="1"/>
    <x v="0"/>
    <x v="3"/>
    <x v="3"/>
    <x v="3"/>
  </r>
  <r>
    <n v="218"/>
    <x v="147"/>
    <x v="0"/>
    <x v="1"/>
    <x v="1"/>
    <x v="0"/>
    <x v="1"/>
    <x v="0"/>
    <x v="3"/>
    <x v="3"/>
    <x v="3"/>
  </r>
  <r>
    <n v="219"/>
    <x v="148"/>
    <x v="2"/>
    <x v="23"/>
    <x v="0"/>
    <x v="2"/>
    <x v="0"/>
    <x v="2"/>
    <x v="1"/>
    <x v="8"/>
    <x v="8"/>
  </r>
  <r>
    <n v="220"/>
    <x v="54"/>
    <x v="0"/>
    <x v="48"/>
    <x v="2"/>
    <x v="1"/>
    <x v="0"/>
    <x v="3"/>
    <x v="0"/>
    <x v="5"/>
    <x v="5"/>
  </r>
  <r>
    <n v="221"/>
    <x v="149"/>
    <x v="4"/>
    <x v="8"/>
    <x v="3"/>
    <x v="3"/>
    <x v="0"/>
    <x v="0"/>
    <x v="1"/>
    <x v="4"/>
    <x v="4"/>
  </r>
  <r>
    <n v="222"/>
    <x v="150"/>
    <x v="7"/>
    <x v="11"/>
    <x v="2"/>
    <x v="2"/>
    <x v="0"/>
    <x v="0"/>
    <x v="3"/>
    <x v="3"/>
    <x v="3"/>
  </r>
  <r>
    <n v="223"/>
    <x v="151"/>
    <x v="3"/>
    <x v="38"/>
    <x v="1"/>
    <x v="1"/>
    <x v="0"/>
    <x v="0"/>
    <x v="0"/>
    <x v="0"/>
    <x v="0"/>
  </r>
  <r>
    <n v="224"/>
    <x v="26"/>
    <x v="2"/>
    <x v="17"/>
    <x v="0"/>
    <x v="4"/>
    <x v="0"/>
    <x v="2"/>
    <x v="0"/>
    <x v="1"/>
    <x v="1"/>
  </r>
  <r>
    <n v="225"/>
    <x v="152"/>
    <x v="2"/>
    <x v="48"/>
    <x v="3"/>
    <x v="0"/>
    <x v="1"/>
    <x v="3"/>
    <x v="1"/>
    <x v="16"/>
    <x v="16"/>
  </r>
  <r>
    <n v="226"/>
    <x v="153"/>
    <x v="10"/>
    <x v="38"/>
    <x v="2"/>
    <x v="1"/>
    <x v="0"/>
    <x v="2"/>
    <x v="2"/>
    <x v="11"/>
    <x v="11"/>
  </r>
  <r>
    <n v="227"/>
    <x v="153"/>
    <x v="10"/>
    <x v="31"/>
    <x v="0"/>
    <x v="3"/>
    <x v="1"/>
    <x v="0"/>
    <x v="4"/>
    <x v="12"/>
    <x v="12"/>
  </r>
  <r>
    <n v="228"/>
    <x v="154"/>
    <x v="4"/>
    <x v="32"/>
    <x v="0"/>
    <x v="0"/>
    <x v="1"/>
    <x v="0"/>
    <x v="1"/>
    <x v="4"/>
    <x v="4"/>
  </r>
  <r>
    <n v="229"/>
    <x v="155"/>
    <x v="0"/>
    <x v="30"/>
    <x v="3"/>
    <x v="2"/>
    <x v="1"/>
    <x v="4"/>
    <x v="0"/>
    <x v="8"/>
    <x v="8"/>
  </r>
  <r>
    <n v="230"/>
    <x v="102"/>
    <x v="2"/>
    <x v="29"/>
    <x v="0"/>
    <x v="1"/>
    <x v="0"/>
    <x v="0"/>
    <x v="0"/>
    <x v="0"/>
    <x v="0"/>
  </r>
  <r>
    <n v="231"/>
    <x v="156"/>
    <x v="10"/>
    <x v="12"/>
    <x v="3"/>
    <x v="1"/>
    <x v="0"/>
    <x v="3"/>
    <x v="4"/>
    <x v="7"/>
    <x v="7"/>
  </r>
  <r>
    <n v="232"/>
    <x v="157"/>
    <x v="0"/>
    <x v="21"/>
    <x v="3"/>
    <x v="3"/>
    <x v="0"/>
    <x v="2"/>
    <x v="0"/>
    <x v="1"/>
    <x v="1"/>
  </r>
  <r>
    <n v="233"/>
    <x v="157"/>
    <x v="0"/>
    <x v="43"/>
    <x v="1"/>
    <x v="4"/>
    <x v="1"/>
    <x v="2"/>
    <x v="1"/>
    <x v="8"/>
    <x v="8"/>
  </r>
  <r>
    <n v="234"/>
    <x v="158"/>
    <x v="11"/>
    <x v="36"/>
    <x v="3"/>
    <x v="2"/>
    <x v="0"/>
    <x v="0"/>
    <x v="2"/>
    <x v="2"/>
    <x v="2"/>
  </r>
  <r>
    <n v="235"/>
    <x v="159"/>
    <x v="6"/>
    <x v="8"/>
    <x v="3"/>
    <x v="0"/>
    <x v="1"/>
    <x v="0"/>
    <x v="0"/>
    <x v="0"/>
    <x v="0"/>
  </r>
  <r>
    <n v="236"/>
    <x v="159"/>
    <x v="6"/>
    <x v="13"/>
    <x v="3"/>
    <x v="1"/>
    <x v="1"/>
    <x v="3"/>
    <x v="0"/>
    <x v="5"/>
    <x v="5"/>
  </r>
  <r>
    <n v="237"/>
    <x v="125"/>
    <x v="0"/>
    <x v="7"/>
    <x v="2"/>
    <x v="0"/>
    <x v="0"/>
    <x v="2"/>
    <x v="0"/>
    <x v="1"/>
    <x v="1"/>
  </r>
  <r>
    <n v="238"/>
    <x v="160"/>
    <x v="1"/>
    <x v="21"/>
    <x v="0"/>
    <x v="3"/>
    <x v="1"/>
    <x v="3"/>
    <x v="0"/>
    <x v="5"/>
    <x v="5"/>
  </r>
  <r>
    <n v="239"/>
    <x v="161"/>
    <x v="4"/>
    <x v="47"/>
    <x v="1"/>
    <x v="4"/>
    <x v="0"/>
    <x v="0"/>
    <x v="0"/>
    <x v="0"/>
    <x v="0"/>
  </r>
  <r>
    <n v="240"/>
    <x v="162"/>
    <x v="4"/>
    <x v="3"/>
    <x v="1"/>
    <x v="2"/>
    <x v="1"/>
    <x v="0"/>
    <x v="0"/>
    <x v="0"/>
    <x v="0"/>
  </r>
  <r>
    <n v="241"/>
    <x v="163"/>
    <x v="6"/>
    <x v="1"/>
    <x v="1"/>
    <x v="2"/>
    <x v="0"/>
    <x v="0"/>
    <x v="0"/>
    <x v="0"/>
    <x v="0"/>
  </r>
  <r>
    <n v="242"/>
    <x v="33"/>
    <x v="5"/>
    <x v="7"/>
    <x v="3"/>
    <x v="1"/>
    <x v="1"/>
    <x v="4"/>
    <x v="1"/>
    <x v="9"/>
    <x v="9"/>
  </r>
  <r>
    <n v="243"/>
    <x v="164"/>
    <x v="10"/>
    <x v="45"/>
    <x v="0"/>
    <x v="4"/>
    <x v="1"/>
    <x v="0"/>
    <x v="0"/>
    <x v="0"/>
    <x v="0"/>
  </r>
  <r>
    <n v="244"/>
    <x v="165"/>
    <x v="8"/>
    <x v="33"/>
    <x v="2"/>
    <x v="1"/>
    <x v="0"/>
    <x v="4"/>
    <x v="0"/>
    <x v="8"/>
    <x v="8"/>
  </r>
  <r>
    <n v="245"/>
    <x v="166"/>
    <x v="2"/>
    <x v="8"/>
    <x v="2"/>
    <x v="3"/>
    <x v="1"/>
    <x v="2"/>
    <x v="0"/>
    <x v="1"/>
    <x v="1"/>
  </r>
  <r>
    <n v="246"/>
    <x v="55"/>
    <x v="8"/>
    <x v="30"/>
    <x v="0"/>
    <x v="3"/>
    <x v="0"/>
    <x v="2"/>
    <x v="0"/>
    <x v="1"/>
    <x v="1"/>
  </r>
  <r>
    <n v="247"/>
    <x v="2"/>
    <x v="2"/>
    <x v="8"/>
    <x v="0"/>
    <x v="1"/>
    <x v="0"/>
    <x v="2"/>
    <x v="4"/>
    <x v="10"/>
    <x v="10"/>
  </r>
  <r>
    <n v="248"/>
    <x v="72"/>
    <x v="5"/>
    <x v="23"/>
    <x v="1"/>
    <x v="3"/>
    <x v="1"/>
    <x v="4"/>
    <x v="3"/>
    <x v="0"/>
    <x v="0"/>
  </r>
  <r>
    <n v="249"/>
    <x v="72"/>
    <x v="5"/>
    <x v="31"/>
    <x v="0"/>
    <x v="1"/>
    <x v="0"/>
    <x v="2"/>
    <x v="0"/>
    <x v="1"/>
    <x v="1"/>
  </r>
  <r>
    <n v="250"/>
    <x v="158"/>
    <x v="11"/>
    <x v="10"/>
    <x v="0"/>
    <x v="1"/>
    <x v="0"/>
    <x v="2"/>
    <x v="2"/>
    <x v="1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30EBF2-9A48-4557-B62A-06A008C566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24:N30" firstHeaderRow="1" firstDataRow="1" firstDataCol="1"/>
  <pivotFields count="14">
    <pivotField showAll="0"/>
    <pivotField numFmtId="164" showAll="0">
      <items count="168">
        <item x="165"/>
        <item x="136"/>
        <item x="55"/>
        <item x="34"/>
        <item x="16"/>
        <item x="143"/>
        <item x="38"/>
        <item x="88"/>
        <item x="32"/>
        <item x="141"/>
        <item x="103"/>
        <item x="96"/>
        <item x="106"/>
        <item x="83"/>
        <item x="58"/>
        <item x="134"/>
        <item x="21"/>
        <item x="74"/>
        <item x="118"/>
        <item x="28"/>
        <item x="63"/>
        <item x="87"/>
        <item x="144"/>
        <item x="75"/>
        <item x="56"/>
        <item x="95"/>
        <item x="128"/>
        <item x="5"/>
        <item x="133"/>
        <item x="49"/>
        <item x="86"/>
        <item x="22"/>
        <item x="33"/>
        <item x="42"/>
        <item x="9"/>
        <item x="117"/>
        <item x="101"/>
        <item x="23"/>
        <item x="72"/>
        <item x="99"/>
        <item x="12"/>
        <item x="45"/>
        <item x="39"/>
        <item x="8"/>
        <item x="127"/>
        <item x="31"/>
        <item x="150"/>
        <item x="40"/>
        <item x="51"/>
        <item x="105"/>
        <item x="11"/>
        <item x="48"/>
        <item x="107"/>
        <item x="98"/>
        <item x="6"/>
        <item x="111"/>
        <item x="159"/>
        <item x="163"/>
        <item x="15"/>
        <item x="84"/>
        <item x="13"/>
        <item x="124"/>
        <item x="90"/>
        <item x="108"/>
        <item x="80"/>
        <item x="79"/>
        <item x="44"/>
        <item x="135"/>
        <item x="91"/>
        <item x="37"/>
        <item x="35"/>
        <item x="139"/>
        <item x="158"/>
        <item x="142"/>
        <item x="120"/>
        <item x="85"/>
        <item x="146"/>
        <item x="131"/>
        <item x="78"/>
        <item x="130"/>
        <item x="67"/>
        <item x="116"/>
        <item x="93"/>
        <item x="41"/>
        <item x="64"/>
        <item x="82"/>
        <item x="73"/>
        <item x="92"/>
        <item x="122"/>
        <item x="160"/>
        <item x="65"/>
        <item x="1"/>
        <item x="17"/>
        <item x="119"/>
        <item x="126"/>
        <item x="94"/>
        <item x="66"/>
        <item x="137"/>
        <item x="149"/>
        <item x="20"/>
        <item x="30"/>
        <item x="76"/>
        <item x="14"/>
        <item x="70"/>
        <item x="4"/>
        <item x="121"/>
        <item x="161"/>
        <item x="115"/>
        <item x="154"/>
        <item x="112"/>
        <item x="10"/>
        <item x="162"/>
        <item x="69"/>
        <item x="114"/>
        <item x="29"/>
        <item x="7"/>
        <item x="0"/>
        <item x="53"/>
        <item x="18"/>
        <item x="147"/>
        <item x="125"/>
        <item x="113"/>
        <item x="97"/>
        <item x="129"/>
        <item x="54"/>
        <item x="47"/>
        <item x="157"/>
        <item x="155"/>
        <item x="153"/>
        <item x="81"/>
        <item x="36"/>
        <item x="77"/>
        <item x="164"/>
        <item x="156"/>
        <item x="145"/>
        <item x="25"/>
        <item x="110"/>
        <item x="27"/>
        <item x="109"/>
        <item x="68"/>
        <item x="61"/>
        <item x="60"/>
        <item x="46"/>
        <item x="123"/>
        <item x="71"/>
        <item x="89"/>
        <item x="52"/>
        <item x="19"/>
        <item x="3"/>
        <item x="151"/>
        <item x="152"/>
        <item x="57"/>
        <item x="104"/>
        <item x="26"/>
        <item x="102"/>
        <item x="132"/>
        <item x="62"/>
        <item x="148"/>
        <item x="24"/>
        <item x="50"/>
        <item x="2"/>
        <item x="166"/>
        <item x="59"/>
        <item x="138"/>
        <item x="43"/>
        <item x="140"/>
        <item x="100"/>
        <item t="default"/>
      </items>
    </pivotField>
    <pivotField showAll="0">
      <items count="13">
        <item x="8"/>
        <item x="9"/>
        <item x="5"/>
        <item x="7"/>
        <item x="6"/>
        <item x="11"/>
        <item x="1"/>
        <item x="4"/>
        <item x="0"/>
        <item x="10"/>
        <item x="3"/>
        <item x="2"/>
        <item t="default"/>
      </items>
    </pivotField>
    <pivotField showAll="0"/>
    <pivotField showAll="0">
      <items count="5">
        <item x="0"/>
        <item x="3"/>
        <item x="1"/>
        <item x="2"/>
        <item t="default"/>
      </items>
    </pivotField>
    <pivotField axis="axisRow" showAll="0">
      <items count="6">
        <item x="0"/>
        <item x="2"/>
        <item x="1"/>
        <item x="3"/>
        <item x="4"/>
        <item t="default"/>
      </items>
    </pivotField>
    <pivotField showAll="0">
      <items count="3">
        <item x="1"/>
        <item x="0"/>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
    <i>
      <x/>
    </i>
    <i>
      <x v="1"/>
    </i>
    <i>
      <x v="2"/>
    </i>
    <i>
      <x v="3"/>
    </i>
    <i>
      <x v="4"/>
    </i>
    <i t="grand">
      <x/>
    </i>
  </rowItems>
  <colItems count="1">
    <i/>
  </colItems>
  <dataFields count="1">
    <dataField name="Sum of Sales" fld="9" baseField="0" baseItem="0"/>
  </dataFields>
  <chartFormats count="4">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239008-F473-4B52-BE2B-6431026729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2:N7" firstHeaderRow="1" firstDataRow="1" firstDataCol="1"/>
  <pivotFields count="14">
    <pivotField showAll="0"/>
    <pivotField numFmtId="164" showAll="0">
      <items count="168">
        <item x="165"/>
        <item x="136"/>
        <item x="55"/>
        <item x="34"/>
        <item x="16"/>
        <item x="143"/>
        <item x="38"/>
        <item x="88"/>
        <item x="32"/>
        <item x="141"/>
        <item x="103"/>
        <item x="96"/>
        <item x="106"/>
        <item x="83"/>
        <item x="58"/>
        <item x="134"/>
        <item x="21"/>
        <item x="74"/>
        <item x="118"/>
        <item x="28"/>
        <item x="63"/>
        <item x="87"/>
        <item x="144"/>
        <item x="75"/>
        <item x="56"/>
        <item x="95"/>
        <item x="128"/>
        <item x="5"/>
        <item x="133"/>
        <item x="49"/>
        <item x="86"/>
        <item x="22"/>
        <item x="33"/>
        <item x="42"/>
        <item x="9"/>
        <item x="117"/>
        <item x="101"/>
        <item x="23"/>
        <item x="72"/>
        <item x="99"/>
        <item x="12"/>
        <item x="45"/>
        <item x="39"/>
        <item x="8"/>
        <item x="127"/>
        <item x="31"/>
        <item x="150"/>
        <item x="40"/>
        <item x="51"/>
        <item x="105"/>
        <item x="11"/>
        <item x="48"/>
        <item x="107"/>
        <item x="98"/>
        <item x="6"/>
        <item x="111"/>
        <item x="159"/>
        <item x="163"/>
        <item x="15"/>
        <item x="84"/>
        <item x="13"/>
        <item x="124"/>
        <item x="90"/>
        <item x="108"/>
        <item x="80"/>
        <item x="79"/>
        <item x="44"/>
        <item x="135"/>
        <item x="91"/>
        <item x="37"/>
        <item x="35"/>
        <item x="139"/>
        <item x="158"/>
        <item x="142"/>
        <item x="120"/>
        <item x="85"/>
        <item x="146"/>
        <item x="131"/>
        <item x="78"/>
        <item x="130"/>
        <item x="67"/>
        <item x="116"/>
        <item x="93"/>
        <item x="41"/>
        <item x="64"/>
        <item x="82"/>
        <item x="73"/>
        <item x="92"/>
        <item x="122"/>
        <item x="160"/>
        <item x="65"/>
        <item x="1"/>
        <item x="17"/>
        <item x="119"/>
        <item x="126"/>
        <item x="94"/>
        <item x="66"/>
        <item x="137"/>
        <item x="149"/>
        <item x="20"/>
        <item x="30"/>
        <item x="76"/>
        <item x="14"/>
        <item x="70"/>
        <item x="4"/>
        <item x="121"/>
        <item x="161"/>
        <item x="115"/>
        <item x="154"/>
        <item x="112"/>
        <item x="10"/>
        <item x="162"/>
        <item x="69"/>
        <item x="114"/>
        <item x="29"/>
        <item x="7"/>
        <item x="0"/>
        <item x="53"/>
        <item x="18"/>
        <item x="147"/>
        <item x="125"/>
        <item x="113"/>
        <item x="97"/>
        <item x="129"/>
        <item x="54"/>
        <item x="47"/>
        <item x="157"/>
        <item x="155"/>
        <item x="153"/>
        <item x="81"/>
        <item x="36"/>
        <item x="77"/>
        <item x="164"/>
        <item x="156"/>
        <item x="145"/>
        <item x="25"/>
        <item x="110"/>
        <item x="27"/>
        <item x="109"/>
        <item x="68"/>
        <item x="61"/>
        <item x="60"/>
        <item x="46"/>
        <item x="123"/>
        <item x="71"/>
        <item x="89"/>
        <item x="52"/>
        <item x="19"/>
        <item x="3"/>
        <item x="151"/>
        <item x="152"/>
        <item x="57"/>
        <item x="104"/>
        <item x="26"/>
        <item x="102"/>
        <item x="132"/>
        <item x="62"/>
        <item x="148"/>
        <item x="24"/>
        <item x="50"/>
        <item x="2"/>
        <item x="166"/>
        <item x="59"/>
        <item x="138"/>
        <item x="43"/>
        <item x="140"/>
        <item x="100"/>
        <item t="default"/>
      </items>
    </pivotField>
    <pivotField showAll="0">
      <items count="13">
        <item x="8"/>
        <item x="9"/>
        <item x="5"/>
        <item x="7"/>
        <item x="6"/>
        <item x="11"/>
        <item x="1"/>
        <item x="4"/>
        <item x="0"/>
        <item x="10"/>
        <item x="3"/>
        <item x="2"/>
        <item t="default"/>
      </items>
    </pivotField>
    <pivotField showAll="0">
      <items count="51">
        <item x="14"/>
        <item x="47"/>
        <item x="31"/>
        <item x="4"/>
        <item x="9"/>
        <item x="36"/>
        <item x="27"/>
        <item x="46"/>
        <item x="44"/>
        <item x="49"/>
        <item x="19"/>
        <item x="12"/>
        <item x="20"/>
        <item x="35"/>
        <item x="41"/>
        <item x="40"/>
        <item x="0"/>
        <item x="26"/>
        <item x="37"/>
        <item x="1"/>
        <item x="29"/>
        <item x="5"/>
        <item x="43"/>
        <item x="45"/>
        <item x="2"/>
        <item x="3"/>
        <item x="6"/>
        <item x="22"/>
        <item x="8"/>
        <item x="18"/>
        <item x="25"/>
        <item x="16"/>
        <item x="30"/>
        <item x="21"/>
        <item x="32"/>
        <item x="15"/>
        <item x="24"/>
        <item x="39"/>
        <item x="13"/>
        <item x="34"/>
        <item x="17"/>
        <item x="38"/>
        <item x="28"/>
        <item x="48"/>
        <item x="23"/>
        <item x="10"/>
        <item x="42"/>
        <item x="7"/>
        <item x="11"/>
        <item x="33"/>
        <item t="default"/>
      </items>
    </pivotField>
    <pivotField axis="axisRow" showAll="0">
      <items count="5">
        <item x="0"/>
        <item x="3"/>
        <item x="1"/>
        <item x="2"/>
        <item t="default"/>
      </items>
    </pivotField>
    <pivotField showAll="0">
      <items count="6">
        <item x="0"/>
        <item x="2"/>
        <item x="1"/>
        <item x="3"/>
        <item x="4"/>
        <item t="default"/>
      </items>
    </pivotField>
    <pivotField showAll="0">
      <items count="3">
        <item x="1"/>
        <item x="0"/>
        <item t="default"/>
      </items>
    </pivotField>
    <pivotField showAll="0">
      <items count="6">
        <item x="4"/>
        <item x="2"/>
        <item x="0"/>
        <item x="1"/>
        <item x="3"/>
        <item t="default"/>
      </items>
    </pivotField>
    <pivotField showAll="0">
      <items count="6">
        <item x="2"/>
        <item x="1"/>
        <item x="0"/>
        <item x="4"/>
        <item x="3"/>
        <item t="default"/>
      </items>
    </pivotField>
    <pivotField dataField="1" showAll="0">
      <items count="18">
        <item x="13"/>
        <item x="11"/>
        <item x="2"/>
        <item x="6"/>
        <item x="9"/>
        <item x="8"/>
        <item x="4"/>
        <item x="1"/>
        <item x="16"/>
        <item x="0"/>
        <item x="10"/>
        <item x="5"/>
        <item x="12"/>
        <item x="14"/>
        <item x="3"/>
        <item x="7"/>
        <item x="15"/>
        <item t="default"/>
      </items>
    </pivotField>
    <pivotField showAll="0">
      <items count="18">
        <item x="13"/>
        <item x="11"/>
        <item x="2"/>
        <item x="6"/>
        <item x="9"/>
        <item x="8"/>
        <item x="4"/>
        <item x="1"/>
        <item x="16"/>
        <item x="0"/>
        <item x="10"/>
        <item x="5"/>
        <item x="12"/>
        <item x="14"/>
        <item x="3"/>
        <item x="7"/>
        <item x="1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Sales" fld="9" baseField="0" baseItem="0"/>
  </dataFields>
  <chartFormats count="4">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C85800-20D9-4575-AA0C-7C9422CDBF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10:N15" firstHeaderRow="1" firstDataRow="1" firstDataCol="1"/>
  <pivotFields count="14">
    <pivotField showAll="0"/>
    <pivotField numFmtId="164" showAll="0">
      <items count="168">
        <item x="165"/>
        <item x="136"/>
        <item x="55"/>
        <item x="34"/>
        <item x="16"/>
        <item x="143"/>
        <item x="38"/>
        <item x="88"/>
        <item x="32"/>
        <item x="141"/>
        <item x="103"/>
        <item x="96"/>
        <item x="106"/>
        <item x="83"/>
        <item x="58"/>
        <item x="134"/>
        <item x="21"/>
        <item x="74"/>
        <item x="118"/>
        <item x="28"/>
        <item x="63"/>
        <item x="87"/>
        <item x="144"/>
        <item x="75"/>
        <item x="56"/>
        <item x="95"/>
        <item x="128"/>
        <item x="5"/>
        <item x="133"/>
        <item x="49"/>
        <item x="86"/>
        <item x="22"/>
        <item x="33"/>
        <item x="42"/>
        <item x="9"/>
        <item x="117"/>
        <item x="101"/>
        <item x="23"/>
        <item x="72"/>
        <item x="99"/>
        <item x="12"/>
        <item x="45"/>
        <item x="39"/>
        <item x="8"/>
        <item x="127"/>
        <item x="31"/>
        <item x="150"/>
        <item x="40"/>
        <item x="51"/>
        <item x="105"/>
        <item x="11"/>
        <item x="48"/>
        <item x="107"/>
        <item x="98"/>
        <item x="6"/>
        <item x="111"/>
        <item x="159"/>
        <item x="163"/>
        <item x="15"/>
        <item x="84"/>
        <item x="13"/>
        <item x="124"/>
        <item x="90"/>
        <item x="108"/>
        <item x="80"/>
        <item x="79"/>
        <item x="44"/>
        <item x="135"/>
        <item x="91"/>
        <item x="37"/>
        <item x="35"/>
        <item x="139"/>
        <item x="158"/>
        <item x="142"/>
        <item x="120"/>
        <item x="85"/>
        <item x="146"/>
        <item x="131"/>
        <item x="78"/>
        <item x="130"/>
        <item x="67"/>
        <item x="116"/>
        <item x="93"/>
        <item x="41"/>
        <item x="64"/>
        <item x="82"/>
        <item x="73"/>
        <item x="92"/>
        <item x="122"/>
        <item x="160"/>
        <item x="65"/>
        <item x="1"/>
        <item x="17"/>
        <item x="119"/>
        <item x="126"/>
        <item x="94"/>
        <item x="66"/>
        <item x="137"/>
        <item x="149"/>
        <item x="20"/>
        <item x="30"/>
        <item x="76"/>
        <item x="14"/>
        <item x="70"/>
        <item x="4"/>
        <item x="121"/>
        <item x="161"/>
        <item x="115"/>
        <item x="154"/>
        <item x="112"/>
        <item x="10"/>
        <item x="162"/>
        <item x="69"/>
        <item x="114"/>
        <item x="29"/>
        <item x="7"/>
        <item x="0"/>
        <item x="53"/>
        <item x="18"/>
        <item x="147"/>
        <item x="125"/>
        <item x="113"/>
        <item x="97"/>
        <item x="129"/>
        <item x="54"/>
        <item x="47"/>
        <item x="157"/>
        <item x="155"/>
        <item x="153"/>
        <item x="81"/>
        <item x="36"/>
        <item x="77"/>
        <item x="164"/>
        <item x="156"/>
        <item x="145"/>
        <item x="25"/>
        <item x="110"/>
        <item x="27"/>
        <item x="109"/>
        <item x="68"/>
        <item x="61"/>
        <item x="60"/>
        <item x="46"/>
        <item x="123"/>
        <item x="71"/>
        <item x="89"/>
        <item x="52"/>
        <item x="19"/>
        <item x="3"/>
        <item x="151"/>
        <item x="152"/>
        <item x="57"/>
        <item x="104"/>
        <item x="26"/>
        <item x="102"/>
        <item x="132"/>
        <item x="62"/>
        <item x="148"/>
        <item x="24"/>
        <item x="50"/>
        <item x="2"/>
        <item x="166"/>
        <item x="59"/>
        <item x="138"/>
        <item x="43"/>
        <item x="140"/>
        <item x="100"/>
        <item t="default"/>
      </items>
    </pivotField>
    <pivotField showAll="0">
      <items count="13">
        <item x="8"/>
        <item x="9"/>
        <item x="5"/>
        <item x="7"/>
        <item x="6"/>
        <item x="11"/>
        <item x="1"/>
        <item x="4"/>
        <item x="0"/>
        <item x="10"/>
        <item x="3"/>
        <item x="2"/>
        <item t="default"/>
      </items>
    </pivotField>
    <pivotField showAll="0"/>
    <pivotField axis="axisRow" showAll="0">
      <items count="5">
        <item x="0"/>
        <item x="3"/>
        <item x="1"/>
        <item x="2"/>
        <item t="default"/>
      </items>
    </pivotField>
    <pivotField showAll="0">
      <items count="6">
        <item x="0"/>
        <item x="2"/>
        <item x="1"/>
        <item x="3"/>
        <item x="4"/>
        <item t="default"/>
      </items>
    </pivotField>
    <pivotField showAll="0">
      <items count="3">
        <item x="1"/>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Average_Sales" fld="10"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BB52BB-C5E6-4C4A-BD7D-C0D9129A144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55:N61" firstHeaderRow="1" firstDataRow="1" firstDataCol="1"/>
  <pivotFields count="14">
    <pivotField showAll="0"/>
    <pivotField numFmtId="164" showAll="0">
      <items count="168">
        <item x="165"/>
        <item x="136"/>
        <item x="55"/>
        <item x="34"/>
        <item x="16"/>
        <item x="143"/>
        <item x="38"/>
        <item x="88"/>
        <item x="32"/>
        <item x="141"/>
        <item x="103"/>
        <item x="96"/>
        <item x="106"/>
        <item x="83"/>
        <item x="58"/>
        <item x="134"/>
        <item x="21"/>
        <item x="74"/>
        <item x="118"/>
        <item x="28"/>
        <item x="63"/>
        <item x="87"/>
        <item x="144"/>
        <item x="75"/>
        <item x="56"/>
        <item x="95"/>
        <item x="128"/>
        <item x="5"/>
        <item x="133"/>
        <item x="49"/>
        <item x="86"/>
        <item x="22"/>
        <item x="33"/>
        <item x="42"/>
        <item x="9"/>
        <item x="117"/>
        <item x="101"/>
        <item x="23"/>
        <item x="72"/>
        <item x="99"/>
        <item x="12"/>
        <item x="45"/>
        <item x="39"/>
        <item x="8"/>
        <item x="127"/>
        <item x="31"/>
        <item x="150"/>
        <item x="40"/>
        <item x="51"/>
        <item x="105"/>
        <item x="11"/>
        <item x="48"/>
        <item x="107"/>
        <item x="98"/>
        <item x="6"/>
        <item x="111"/>
        <item x="159"/>
        <item x="163"/>
        <item x="15"/>
        <item x="84"/>
        <item x="13"/>
        <item x="124"/>
        <item x="90"/>
        <item x="108"/>
        <item x="80"/>
        <item x="79"/>
        <item x="44"/>
        <item x="135"/>
        <item x="91"/>
        <item x="37"/>
        <item x="35"/>
        <item x="139"/>
        <item x="158"/>
        <item x="142"/>
        <item x="120"/>
        <item x="85"/>
        <item x="146"/>
        <item x="131"/>
        <item x="78"/>
        <item x="130"/>
        <item x="67"/>
        <item x="116"/>
        <item x="93"/>
        <item x="41"/>
        <item x="64"/>
        <item x="82"/>
        <item x="73"/>
        <item x="92"/>
        <item x="122"/>
        <item x="160"/>
        <item x="65"/>
        <item x="1"/>
        <item x="17"/>
        <item x="119"/>
        <item x="126"/>
        <item x="94"/>
        <item x="66"/>
        <item x="137"/>
        <item x="149"/>
        <item x="20"/>
        <item x="30"/>
        <item x="76"/>
        <item x="14"/>
        <item x="70"/>
        <item x="4"/>
        <item x="121"/>
        <item x="161"/>
        <item x="115"/>
        <item x="154"/>
        <item x="112"/>
        <item x="10"/>
        <item x="162"/>
        <item x="69"/>
        <item x="114"/>
        <item x="29"/>
        <item x="7"/>
        <item x="0"/>
        <item x="53"/>
        <item x="18"/>
        <item x="147"/>
        <item x="125"/>
        <item x="113"/>
        <item x="97"/>
        <item x="129"/>
        <item x="54"/>
        <item x="47"/>
        <item x="157"/>
        <item x="155"/>
        <item x="153"/>
        <item x="81"/>
        <item x="36"/>
        <item x="77"/>
        <item x="164"/>
        <item x="156"/>
        <item x="145"/>
        <item x="25"/>
        <item x="110"/>
        <item x="27"/>
        <item x="109"/>
        <item x="68"/>
        <item x="61"/>
        <item x="60"/>
        <item x="46"/>
        <item x="123"/>
        <item x="71"/>
        <item x="89"/>
        <item x="52"/>
        <item x="19"/>
        <item x="3"/>
        <item x="151"/>
        <item x="152"/>
        <item x="57"/>
        <item x="104"/>
        <item x="26"/>
        <item x="102"/>
        <item x="132"/>
        <item x="62"/>
        <item x="148"/>
        <item x="24"/>
        <item x="50"/>
        <item x="2"/>
        <item x="166"/>
        <item x="59"/>
        <item x="138"/>
        <item x="43"/>
        <item x="140"/>
        <item x="100"/>
        <item t="default"/>
      </items>
    </pivotField>
    <pivotField showAll="0">
      <items count="13">
        <item x="8"/>
        <item x="9"/>
        <item x="5"/>
        <item x="7"/>
        <item x="6"/>
        <item x="11"/>
        <item x="1"/>
        <item x="4"/>
        <item x="0"/>
        <item x="10"/>
        <item x="3"/>
        <item x="2"/>
        <item t="default"/>
      </items>
    </pivotField>
    <pivotField showAll="0"/>
    <pivotField showAll="0">
      <items count="5">
        <item x="0"/>
        <item x="3"/>
        <item x="1"/>
        <item x="2"/>
        <item t="default"/>
      </items>
    </pivotField>
    <pivotField axis="axisRow" showAll="0">
      <items count="6">
        <item x="0"/>
        <item x="2"/>
        <item x="1"/>
        <item x="3"/>
        <item x="4"/>
        <item t="default"/>
      </items>
    </pivotField>
    <pivotField showAll="0">
      <items count="3">
        <item x="1"/>
        <item x="0"/>
        <item t="default"/>
      </items>
    </pivotField>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6">
    <i>
      <x/>
    </i>
    <i>
      <x v="1"/>
    </i>
    <i>
      <x v="2"/>
    </i>
    <i>
      <x v="3"/>
    </i>
    <i>
      <x v="4"/>
    </i>
    <i t="grand">
      <x/>
    </i>
  </rowItems>
  <colItems count="1">
    <i/>
  </colItems>
  <dataFields count="1">
    <dataField name="Sum of Quantity" fld="7" baseField="0" baseItem="0"/>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5D3031-60CE-4842-8B6B-7E4C6C3BA63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18:N21" firstHeaderRow="1" firstDataRow="1" firstDataCol="1"/>
  <pivotFields count="14">
    <pivotField showAll="0"/>
    <pivotField numFmtId="164" showAll="0">
      <items count="168">
        <item x="165"/>
        <item x="136"/>
        <item x="55"/>
        <item x="34"/>
        <item x="16"/>
        <item x="143"/>
        <item x="38"/>
        <item x="88"/>
        <item x="32"/>
        <item x="141"/>
        <item x="103"/>
        <item x="96"/>
        <item x="106"/>
        <item x="83"/>
        <item x="58"/>
        <item x="134"/>
        <item x="21"/>
        <item x="74"/>
        <item x="118"/>
        <item x="28"/>
        <item x="63"/>
        <item x="87"/>
        <item x="144"/>
        <item x="75"/>
        <item x="56"/>
        <item x="95"/>
        <item x="128"/>
        <item x="5"/>
        <item x="133"/>
        <item x="49"/>
        <item x="86"/>
        <item x="22"/>
        <item x="33"/>
        <item x="42"/>
        <item x="9"/>
        <item x="117"/>
        <item x="101"/>
        <item x="23"/>
        <item x="72"/>
        <item x="99"/>
        <item x="12"/>
        <item x="45"/>
        <item x="39"/>
        <item x="8"/>
        <item x="127"/>
        <item x="31"/>
        <item x="150"/>
        <item x="40"/>
        <item x="51"/>
        <item x="105"/>
        <item x="11"/>
        <item x="48"/>
        <item x="107"/>
        <item x="98"/>
        <item x="6"/>
        <item x="111"/>
        <item x="159"/>
        <item x="163"/>
        <item x="15"/>
        <item x="84"/>
        <item x="13"/>
        <item x="124"/>
        <item x="90"/>
        <item x="108"/>
        <item x="80"/>
        <item x="79"/>
        <item x="44"/>
        <item x="135"/>
        <item x="91"/>
        <item x="37"/>
        <item x="35"/>
        <item x="139"/>
        <item x="158"/>
        <item x="142"/>
        <item x="120"/>
        <item x="85"/>
        <item x="146"/>
        <item x="131"/>
        <item x="78"/>
        <item x="130"/>
        <item x="67"/>
        <item x="116"/>
        <item x="93"/>
        <item x="41"/>
        <item x="64"/>
        <item x="82"/>
        <item x="73"/>
        <item x="92"/>
        <item x="122"/>
        <item x="160"/>
        <item x="65"/>
        <item x="1"/>
        <item x="17"/>
        <item x="119"/>
        <item x="126"/>
        <item x="94"/>
        <item x="66"/>
        <item x="137"/>
        <item x="149"/>
        <item x="20"/>
        <item x="30"/>
        <item x="76"/>
        <item x="14"/>
        <item x="70"/>
        <item x="4"/>
        <item x="121"/>
        <item x="161"/>
        <item x="115"/>
        <item x="154"/>
        <item x="112"/>
        <item x="10"/>
        <item x="162"/>
        <item x="69"/>
        <item x="114"/>
        <item x="29"/>
        <item x="7"/>
        <item x="0"/>
        <item x="53"/>
        <item x="18"/>
        <item x="147"/>
        <item x="125"/>
        <item x="113"/>
        <item x="97"/>
        <item x="129"/>
        <item x="54"/>
        <item x="47"/>
        <item x="157"/>
        <item x="155"/>
        <item x="153"/>
        <item x="81"/>
        <item x="36"/>
        <item x="77"/>
        <item x="164"/>
        <item x="156"/>
        <item x="145"/>
        <item x="25"/>
        <item x="110"/>
        <item x="27"/>
        <item x="109"/>
        <item x="68"/>
        <item x="61"/>
        <item x="60"/>
        <item x="46"/>
        <item x="123"/>
        <item x="71"/>
        <item x="89"/>
        <item x="52"/>
        <item x="19"/>
        <item x="3"/>
        <item x="151"/>
        <item x="152"/>
        <item x="57"/>
        <item x="104"/>
        <item x="26"/>
        <item x="102"/>
        <item x="132"/>
        <item x="62"/>
        <item x="148"/>
        <item x="24"/>
        <item x="50"/>
        <item x="2"/>
        <item x="166"/>
        <item x="59"/>
        <item x="138"/>
        <item x="43"/>
        <item x="140"/>
        <item x="100"/>
        <item t="default"/>
      </items>
    </pivotField>
    <pivotField showAll="0">
      <items count="13">
        <item x="8"/>
        <item x="9"/>
        <item x="5"/>
        <item x="7"/>
        <item x="6"/>
        <item x="11"/>
        <item x="1"/>
        <item x="4"/>
        <item x="0"/>
        <item x="10"/>
        <item x="3"/>
        <item x="2"/>
        <item t="default"/>
      </items>
    </pivotField>
    <pivotField showAll="0"/>
    <pivotField showAll="0">
      <items count="5">
        <item x="0"/>
        <item x="3"/>
        <item x="1"/>
        <item x="2"/>
        <item t="default"/>
      </items>
    </pivotField>
    <pivotField showAll="0">
      <items count="6">
        <item x="0"/>
        <item x="2"/>
        <item x="1"/>
        <item x="3"/>
        <item x="4"/>
        <item t="default"/>
      </items>
    </pivotField>
    <pivotField axis="axisRow" showAll="0">
      <items count="3">
        <item x="1"/>
        <item x="0"/>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Sales" fld="9"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6" count="1" selected="0">
            <x v="0"/>
          </reference>
        </references>
      </pivotArea>
    </chartFormat>
    <chartFormat chart="11" format="8">
      <pivotArea type="data" outline="0" fieldPosition="0">
        <references count="2">
          <reference field="4294967294" count="1" selected="0">
            <x v="0"/>
          </reference>
          <reference field="6" count="1" selected="0">
            <x v="1"/>
          </reference>
        </references>
      </pivotArea>
    </chartFormat>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6" count="1" selected="0">
            <x v="0"/>
          </reference>
        </references>
      </pivotArea>
    </chartFormat>
    <chartFormat chart="12" format="5">
      <pivotArea type="data" outline="0" fieldPosition="0">
        <references count="2">
          <reference field="4294967294" count="1" selected="0">
            <x v="0"/>
          </reference>
          <reference field="6" count="1" selected="0">
            <x v="1"/>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6" count="1" selected="0">
            <x v="0"/>
          </reference>
        </references>
      </pivotArea>
    </chartFormat>
    <chartFormat chart="13" format="1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A18A1C-2F65-48CD-936C-AEFB2C5A40A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49:N52" firstHeaderRow="1" firstDataRow="1" firstDataCol="1"/>
  <pivotFields count="14">
    <pivotField showAll="0"/>
    <pivotField numFmtId="164" showAll="0">
      <items count="168">
        <item x="165"/>
        <item x="136"/>
        <item x="55"/>
        <item x="34"/>
        <item x="16"/>
        <item x="143"/>
        <item x="38"/>
        <item x="88"/>
        <item x="32"/>
        <item x="141"/>
        <item x="103"/>
        <item x="96"/>
        <item x="106"/>
        <item x="83"/>
        <item x="58"/>
        <item x="134"/>
        <item x="21"/>
        <item x="74"/>
        <item x="118"/>
        <item x="28"/>
        <item x="63"/>
        <item x="87"/>
        <item x="144"/>
        <item x="75"/>
        <item x="56"/>
        <item x="95"/>
        <item x="128"/>
        <item x="5"/>
        <item x="133"/>
        <item x="49"/>
        <item x="86"/>
        <item x="22"/>
        <item x="33"/>
        <item x="42"/>
        <item x="9"/>
        <item x="117"/>
        <item x="101"/>
        <item x="23"/>
        <item x="72"/>
        <item x="99"/>
        <item x="12"/>
        <item x="45"/>
        <item x="39"/>
        <item x="8"/>
        <item x="127"/>
        <item x="31"/>
        <item x="150"/>
        <item x="40"/>
        <item x="51"/>
        <item x="105"/>
        <item x="11"/>
        <item x="48"/>
        <item x="107"/>
        <item x="98"/>
        <item x="6"/>
        <item x="111"/>
        <item x="159"/>
        <item x="163"/>
        <item x="15"/>
        <item x="84"/>
        <item x="13"/>
        <item x="124"/>
        <item x="90"/>
        <item x="108"/>
        <item x="80"/>
        <item x="79"/>
        <item x="44"/>
        <item x="135"/>
        <item x="91"/>
        <item x="37"/>
        <item x="35"/>
        <item x="139"/>
        <item x="158"/>
        <item x="142"/>
        <item x="120"/>
        <item x="85"/>
        <item x="146"/>
        <item x="131"/>
        <item x="78"/>
        <item x="130"/>
        <item x="67"/>
        <item x="116"/>
        <item x="93"/>
        <item x="41"/>
        <item x="64"/>
        <item x="82"/>
        <item x="73"/>
        <item x="92"/>
        <item x="122"/>
        <item x="160"/>
        <item x="65"/>
        <item x="1"/>
        <item x="17"/>
        <item x="119"/>
        <item x="126"/>
        <item x="94"/>
        <item x="66"/>
        <item x="137"/>
        <item x="149"/>
        <item x="20"/>
        <item x="30"/>
        <item x="76"/>
        <item x="14"/>
        <item x="70"/>
        <item x="4"/>
        <item x="121"/>
        <item x="161"/>
        <item x="115"/>
        <item x="154"/>
        <item x="112"/>
        <item x="10"/>
        <item x="162"/>
        <item x="69"/>
        <item x="114"/>
        <item x="29"/>
        <item x="7"/>
        <item x="0"/>
        <item x="53"/>
        <item x="18"/>
        <item x="147"/>
        <item x="125"/>
        <item x="113"/>
        <item x="97"/>
        <item x="129"/>
        <item x="54"/>
        <item x="47"/>
        <item x="157"/>
        <item x="155"/>
        <item x="153"/>
        <item x="81"/>
        <item x="36"/>
        <item x="77"/>
        <item x="164"/>
        <item x="156"/>
        <item x="145"/>
        <item x="25"/>
        <item x="110"/>
        <item x="27"/>
        <item x="109"/>
        <item x="68"/>
        <item x="61"/>
        <item x="60"/>
        <item x="46"/>
        <item x="123"/>
        <item x="71"/>
        <item x="89"/>
        <item x="52"/>
        <item x="19"/>
        <item x="3"/>
        <item x="151"/>
        <item x="152"/>
        <item x="57"/>
        <item x="104"/>
        <item x="26"/>
        <item x="102"/>
        <item x="132"/>
        <item x="62"/>
        <item x="148"/>
        <item x="24"/>
        <item x="50"/>
        <item x="2"/>
        <item x="166"/>
        <item x="59"/>
        <item x="138"/>
        <item x="43"/>
        <item x="140"/>
        <item x="100"/>
        <item t="default"/>
      </items>
    </pivotField>
    <pivotField showAll="0">
      <items count="13">
        <item x="8"/>
        <item x="9"/>
        <item x="5"/>
        <item x="7"/>
        <item x="6"/>
        <item x="11"/>
        <item x="1"/>
        <item x="4"/>
        <item x="0"/>
        <item x="10"/>
        <item x="3"/>
        <item x="2"/>
        <item t="default"/>
      </items>
    </pivotField>
    <pivotField showAll="0"/>
    <pivotField showAll="0">
      <items count="5">
        <item x="0"/>
        <item x="3"/>
        <item x="1"/>
        <item x="2"/>
        <item t="default"/>
      </items>
    </pivotField>
    <pivotField showAll="0">
      <items count="6">
        <item x="0"/>
        <item x="2"/>
        <item x="1"/>
        <item x="3"/>
        <item x="4"/>
        <item t="default"/>
      </items>
    </pivotField>
    <pivotField axis="axisRow" showAll="0">
      <items count="3">
        <item x="1"/>
        <item x="0"/>
        <item t="default"/>
      </items>
    </pivotField>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3">
    <i>
      <x/>
    </i>
    <i>
      <x v="1"/>
    </i>
    <i t="grand">
      <x/>
    </i>
  </rowItems>
  <colItems count="1">
    <i/>
  </colItems>
  <dataFields count="1">
    <dataField name="Sum of Quantity" fld="7"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7" format="3"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FAE567-4472-4E85-BD91-8BC5D59972E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64:N75" firstHeaderRow="1" firstDataRow="1" firstDataCol="1"/>
  <pivotFields count="14">
    <pivotField showAll="0"/>
    <pivotField numFmtId="164" showAll="0">
      <items count="168">
        <item x="165"/>
        <item x="136"/>
        <item x="55"/>
        <item x="34"/>
        <item x="16"/>
        <item x="143"/>
        <item x="38"/>
        <item x="88"/>
        <item x="32"/>
        <item x="141"/>
        <item x="103"/>
        <item x="96"/>
        <item x="106"/>
        <item x="83"/>
        <item x="58"/>
        <item x="134"/>
        <item x="21"/>
        <item x="74"/>
        <item x="118"/>
        <item x="28"/>
        <item x="63"/>
        <item x="87"/>
        <item x="144"/>
        <item x="75"/>
        <item x="56"/>
        <item x="95"/>
        <item x="128"/>
        <item x="5"/>
        <item x="133"/>
        <item x="49"/>
        <item x="86"/>
        <item x="22"/>
        <item x="33"/>
        <item x="42"/>
        <item x="9"/>
        <item x="117"/>
        <item x="101"/>
        <item x="23"/>
        <item x="72"/>
        <item x="99"/>
        <item x="12"/>
        <item x="45"/>
        <item x="39"/>
        <item x="8"/>
        <item x="127"/>
        <item x="31"/>
        <item x="150"/>
        <item x="40"/>
        <item x="51"/>
        <item x="105"/>
        <item x="11"/>
        <item x="48"/>
        <item x="107"/>
        <item x="98"/>
        <item x="6"/>
        <item x="111"/>
        <item x="159"/>
        <item x="163"/>
        <item x="15"/>
        <item x="84"/>
        <item x="13"/>
        <item x="124"/>
        <item x="90"/>
        <item x="108"/>
        <item x="80"/>
        <item x="79"/>
        <item x="44"/>
        <item x="135"/>
        <item x="91"/>
        <item x="37"/>
        <item x="35"/>
        <item x="139"/>
        <item x="158"/>
        <item x="142"/>
        <item x="120"/>
        <item x="85"/>
        <item x="146"/>
        <item x="131"/>
        <item x="78"/>
        <item x="130"/>
        <item x="67"/>
        <item x="116"/>
        <item x="93"/>
        <item x="41"/>
        <item x="64"/>
        <item x="82"/>
        <item x="73"/>
        <item x="92"/>
        <item x="122"/>
        <item x="160"/>
        <item x="65"/>
        <item x="1"/>
        <item x="17"/>
        <item x="119"/>
        <item x="126"/>
        <item x="94"/>
        <item x="66"/>
        <item x="137"/>
        <item x="149"/>
        <item x="20"/>
        <item x="30"/>
        <item x="76"/>
        <item x="14"/>
        <item x="70"/>
        <item x="4"/>
        <item x="121"/>
        <item x="161"/>
        <item x="115"/>
        <item x="154"/>
        <item x="112"/>
        <item x="10"/>
        <item x="162"/>
        <item x="69"/>
        <item x="114"/>
        <item x="29"/>
        <item x="7"/>
        <item x="0"/>
        <item x="53"/>
        <item x="18"/>
        <item x="147"/>
        <item x="125"/>
        <item x="113"/>
        <item x="97"/>
        <item x="129"/>
        <item x="54"/>
        <item x="47"/>
        <item x="157"/>
        <item x="155"/>
        <item x="153"/>
        <item x="81"/>
        <item x="36"/>
        <item x="77"/>
        <item x="164"/>
        <item x="156"/>
        <item x="145"/>
        <item x="25"/>
        <item x="110"/>
        <item x="27"/>
        <item x="109"/>
        <item x="68"/>
        <item x="61"/>
        <item x="60"/>
        <item x="46"/>
        <item x="123"/>
        <item x="71"/>
        <item x="89"/>
        <item x="52"/>
        <item x="19"/>
        <item x="3"/>
        <item x="151"/>
        <item x="152"/>
        <item x="57"/>
        <item x="104"/>
        <item x="26"/>
        <item x="102"/>
        <item x="132"/>
        <item x="62"/>
        <item x="148"/>
        <item x="24"/>
        <item x="50"/>
        <item x="2"/>
        <item x="166"/>
        <item x="59"/>
        <item x="138"/>
        <item x="43"/>
        <item x="140"/>
        <item x="100"/>
        <item t="default"/>
      </items>
    </pivotField>
    <pivotField showAll="0">
      <items count="13">
        <item x="8"/>
        <item x="9"/>
        <item x="5"/>
        <item x="7"/>
        <item x="6"/>
        <item x="11"/>
        <item x="1"/>
        <item x="4"/>
        <item x="0"/>
        <item x="10"/>
        <item x="3"/>
        <item x="2"/>
        <item t="default"/>
      </items>
    </pivotField>
    <pivotField axis="axisRow" showAll="0" measureFilter="1" sortType="ascending">
      <items count="51">
        <item x="14"/>
        <item x="47"/>
        <item x="31"/>
        <item x="4"/>
        <item x="9"/>
        <item x="36"/>
        <item x="27"/>
        <item x="46"/>
        <item x="44"/>
        <item x="49"/>
        <item x="19"/>
        <item x="12"/>
        <item x="20"/>
        <item x="35"/>
        <item x="41"/>
        <item x="40"/>
        <item x="0"/>
        <item x="26"/>
        <item x="37"/>
        <item x="1"/>
        <item x="29"/>
        <item x="5"/>
        <item x="43"/>
        <item x="45"/>
        <item x="2"/>
        <item x="3"/>
        <item x="6"/>
        <item x="22"/>
        <item x="8"/>
        <item x="18"/>
        <item x="25"/>
        <item x="16"/>
        <item x="30"/>
        <item x="21"/>
        <item x="32"/>
        <item x="15"/>
        <item x="24"/>
        <item x="39"/>
        <item x="13"/>
        <item x="34"/>
        <item x="17"/>
        <item x="38"/>
        <item x="28"/>
        <item x="48"/>
        <item x="23"/>
        <item x="10"/>
        <item x="42"/>
        <item x="7"/>
        <item x="11"/>
        <item x="33"/>
        <item t="default"/>
      </items>
    </pivotField>
    <pivotField showAll="0">
      <items count="5">
        <item x="0"/>
        <item x="3"/>
        <item x="1"/>
        <item x="2"/>
        <item t="default"/>
      </items>
    </pivotField>
    <pivotField showAll="0">
      <items count="6">
        <item x="0"/>
        <item x="2"/>
        <item x="1"/>
        <item x="3"/>
        <item x="4"/>
        <item t="default"/>
      </items>
    </pivotField>
    <pivotField showAll="0">
      <items count="3">
        <item x="1"/>
        <item x="0"/>
        <item t="default"/>
      </items>
    </pivotField>
    <pivotField showAll="0"/>
    <pivotField showAll="0"/>
    <pivotField dataField="1" showAll="0"/>
    <pivotField showAll="0"/>
    <pivotField showAll="0" defaultSubtotal="0"/>
    <pivotField showAll="0" defaultSubtotal="0"/>
    <pivotField showAll="0" defaultSubtotal="0">
      <items count="4">
        <item x="0"/>
        <item x="1"/>
        <item x="2"/>
        <item x="3"/>
      </items>
    </pivotField>
  </pivotFields>
  <rowFields count="1">
    <field x="3"/>
  </rowFields>
  <rowItems count="11">
    <i>
      <x v="3"/>
    </i>
    <i>
      <x v="7"/>
    </i>
    <i>
      <x v="8"/>
    </i>
    <i>
      <x v="11"/>
    </i>
    <i>
      <x v="18"/>
    </i>
    <i>
      <x v="19"/>
    </i>
    <i>
      <x v="24"/>
    </i>
    <i>
      <x v="28"/>
    </i>
    <i>
      <x v="38"/>
    </i>
    <i>
      <x v="43"/>
    </i>
    <i t="grand">
      <x/>
    </i>
  </rowItems>
  <colItems count="1">
    <i/>
  </colItems>
  <dataFields count="1">
    <dataField name="Sum of Sales" fld="9" baseField="0" baseItem="0"/>
  </dataFields>
  <chartFormats count="4">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B19203-5347-4B74-812C-CF8CE5AA86C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33:N46" firstHeaderRow="1" firstDataRow="1" firstDataCol="1"/>
  <pivotFields count="14">
    <pivotField showAll="0"/>
    <pivotField numFmtId="164" showAll="0">
      <items count="168">
        <item x="165"/>
        <item x="136"/>
        <item x="55"/>
        <item x="34"/>
        <item x="16"/>
        <item x="143"/>
        <item x="38"/>
        <item x="88"/>
        <item x="32"/>
        <item x="141"/>
        <item x="103"/>
        <item x="96"/>
        <item x="106"/>
        <item x="83"/>
        <item x="58"/>
        <item x="134"/>
        <item x="21"/>
        <item x="74"/>
        <item x="118"/>
        <item x="28"/>
        <item x="63"/>
        <item x="87"/>
        <item x="144"/>
        <item x="75"/>
        <item x="56"/>
        <item x="95"/>
        <item x="128"/>
        <item x="5"/>
        <item x="133"/>
        <item x="49"/>
        <item x="86"/>
        <item x="22"/>
        <item x="33"/>
        <item x="42"/>
        <item x="9"/>
        <item x="117"/>
        <item x="101"/>
        <item x="23"/>
        <item x="72"/>
        <item x="99"/>
        <item x="12"/>
        <item x="45"/>
        <item x="39"/>
        <item x="8"/>
        <item x="127"/>
        <item x="31"/>
        <item x="150"/>
        <item x="40"/>
        <item x="51"/>
        <item x="105"/>
        <item x="11"/>
        <item x="48"/>
        <item x="107"/>
        <item x="98"/>
        <item x="6"/>
        <item x="111"/>
        <item x="159"/>
        <item x="163"/>
        <item x="15"/>
        <item x="84"/>
        <item x="13"/>
        <item x="124"/>
        <item x="90"/>
        <item x="108"/>
        <item x="80"/>
        <item x="79"/>
        <item x="44"/>
        <item x="135"/>
        <item x="91"/>
        <item x="37"/>
        <item x="35"/>
        <item x="139"/>
        <item x="158"/>
        <item x="142"/>
        <item x="120"/>
        <item x="85"/>
        <item x="146"/>
        <item x="131"/>
        <item x="78"/>
        <item x="130"/>
        <item x="67"/>
        <item x="116"/>
        <item x="93"/>
        <item x="41"/>
        <item x="64"/>
        <item x="82"/>
        <item x="73"/>
        <item x="92"/>
        <item x="122"/>
        <item x="160"/>
        <item x="65"/>
        <item x="1"/>
        <item x="17"/>
        <item x="119"/>
        <item x="126"/>
        <item x="94"/>
        <item x="66"/>
        <item x="137"/>
        <item x="149"/>
        <item x="20"/>
        <item x="30"/>
        <item x="76"/>
        <item x="14"/>
        <item x="70"/>
        <item x="4"/>
        <item x="121"/>
        <item x="161"/>
        <item x="115"/>
        <item x="154"/>
        <item x="112"/>
        <item x="10"/>
        <item x="162"/>
        <item x="69"/>
        <item x="114"/>
        <item x="29"/>
        <item x="7"/>
        <item x="0"/>
        <item x="53"/>
        <item x="18"/>
        <item x="147"/>
        <item x="125"/>
        <item x="113"/>
        <item x="97"/>
        <item x="129"/>
        <item x="54"/>
        <item x="47"/>
        <item x="157"/>
        <item x="155"/>
        <item x="153"/>
        <item x="81"/>
        <item x="36"/>
        <item x="77"/>
        <item x="164"/>
        <item x="156"/>
        <item x="145"/>
        <item x="25"/>
        <item x="110"/>
        <item x="27"/>
        <item x="109"/>
        <item x="68"/>
        <item x="61"/>
        <item x="60"/>
        <item x="46"/>
        <item x="123"/>
        <item x="71"/>
        <item x="89"/>
        <item x="52"/>
        <item x="19"/>
        <item x="3"/>
        <item x="151"/>
        <item x="152"/>
        <item x="57"/>
        <item x="104"/>
        <item x="26"/>
        <item x="102"/>
        <item x="132"/>
        <item x="62"/>
        <item x="148"/>
        <item x="24"/>
        <item x="50"/>
        <item x="2"/>
        <item x="166"/>
        <item x="59"/>
        <item x="138"/>
        <item x="43"/>
        <item x="140"/>
        <item x="100"/>
        <item t="default"/>
      </items>
    </pivotField>
    <pivotField showAll="0">
      <items count="13">
        <item x="8"/>
        <item x="9"/>
        <item x="5"/>
        <item x="7"/>
        <item x="6"/>
        <item x="11"/>
        <item x="1"/>
        <item x="4"/>
        <item x="0"/>
        <item x="10"/>
        <item x="3"/>
        <item x="2"/>
        <item t="default"/>
      </items>
    </pivotField>
    <pivotField showAll="0"/>
    <pivotField showAll="0">
      <items count="5">
        <item x="0"/>
        <item x="3"/>
        <item x="1"/>
        <item x="2"/>
        <item t="default"/>
      </items>
    </pivotField>
    <pivotField showAll="0">
      <items count="6">
        <item x="0"/>
        <item x="2"/>
        <item x="1"/>
        <item x="3"/>
        <item x="4"/>
        <item t="default"/>
      </items>
    </pivotField>
    <pivotField showAll="0">
      <items count="3">
        <item x="1"/>
        <item x="0"/>
        <item t="default"/>
      </items>
    </pivotField>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Sales" fld="9" baseField="0" baseItem="0"/>
  </dataFields>
  <chartFormats count="4">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By_Month" xr10:uid="{5BDE5895-4A0C-4463-BF74-33B8F2C25C5B}" sourceName="Order_Date_By_Month">
  <pivotTables>
    <pivotTable tabId="1" name="PivotTable1"/>
    <pivotTable tabId="1" name="PivotTable2"/>
    <pivotTable tabId="1" name="PivotTable3"/>
    <pivotTable tabId="1" name="PivotTable4"/>
    <pivotTable tabId="1" name="PivotTable6"/>
    <pivotTable tabId="1" name="PivotTable7"/>
    <pivotTable tabId="1" name="PivotTable8"/>
  </pivotTables>
  <data>
    <tabular pivotCacheId="1904801944">
      <items count="12">
        <i x="8" s="1"/>
        <i x="9" s="1"/>
        <i x="5" s="1"/>
        <i x="7" s="1"/>
        <i x="6" s="1"/>
        <i x="11" s="1"/>
        <i x="1" s="1"/>
        <i x="4" s="1"/>
        <i x="0" s="1"/>
        <i x="1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437477-4635-4FDF-8A92-4730BB92BC38}" sourceName="Region">
  <pivotTables>
    <pivotTable tabId="1" name="PivotTable3"/>
    <pivotTable tabId="1" name="PivotTable4"/>
    <pivotTable tabId="1" name="PivotTable5"/>
    <pivotTable tabId="1" name="PivotTable6"/>
    <pivotTable tabId="1" name="PivotTable7"/>
    <pivotTable tabId="1" name="PivotTable8"/>
  </pivotTables>
  <data>
    <tabular pivotCacheId="1904801944">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6C92A07-17F8-49F9-8809-E011FF962BC7}" sourceName="Product">
  <pivotTables>
    <pivotTable tabId="1" name="PivotTable1"/>
    <pivotTable tabId="1" name="PivotTable2"/>
    <pivotTable tabId="1" name="PivotTable3"/>
    <pivotTable tabId="1" name="PivotTable4"/>
    <pivotTable tabId="1" name="PivotTable5"/>
    <pivotTable tabId="1" name="PivotTable6"/>
    <pivotTable tabId="1" name="PivotTable8"/>
  </pivotTables>
  <data>
    <tabular pivotCacheId="1904801944">
      <items count="5">
        <i x="0" s="1"/>
        <i x="2"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DAC05D-0BD3-410A-9917-4E59AABA7BE6}" sourceName="Category">
  <pivotTables>
    <pivotTable tabId="1" name="PivotTable1"/>
    <pivotTable tabId="1" name="PivotTable2"/>
    <pivotTable tabId="1" name="PivotTable4"/>
    <pivotTable tabId="1" name="PivotTable5"/>
    <pivotTable tabId="1" name="PivotTable7"/>
    <pivotTable tabId="1" name="PivotTable8"/>
  </pivotTables>
  <data>
    <tabular pivotCacheId="19048019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_By_Month" xr10:uid="{26D451E1-9A94-4F6D-8F99-490AACC7A603}" cache="Slicer_Order_Date_By_Month" caption="Order_Date_By_Month" columnCount="12" style="SlicerStyleOther2" rowHeight="247650"/>
  <slicer name="Region" xr10:uid="{954500DB-C3C4-4612-B68A-4B2E93749C6D}" cache="Slicer_Region" caption="Region" columnCount="2" style="SlicerStyleLight3" rowHeight="247650"/>
  <slicer name="Product" xr10:uid="{E5BFBCF9-A45B-45AE-8A0E-F8E01431010F}" cache="Slicer_Product" caption="Product" style="SlicerStyleOther1" rowHeight="247650"/>
  <slicer name="Category" xr10:uid="{D34142D6-1966-4B31-954A-82FD3050EA6E}"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C489A-A400-4F32-ACCE-FEF125BBA218}">
  <dimension ref="A1:AN250"/>
  <sheetViews>
    <sheetView zoomScale="67" workbookViewId="0">
      <selection activeCell="F40" sqref="F40"/>
    </sheetView>
  </sheetViews>
  <sheetFormatPr defaultRowHeight="14.4" x14ac:dyDescent="0.3"/>
  <cols>
    <col min="1" max="1" width="8.44140625" bestFit="1" customWidth="1"/>
    <col min="2" max="2" width="10.5546875" bestFit="1" customWidth="1"/>
    <col min="3" max="3" width="19.6640625" bestFit="1" customWidth="1"/>
    <col min="4" max="4" width="14.88671875" bestFit="1" customWidth="1"/>
    <col min="5" max="5" width="6.5546875" bestFit="1" customWidth="1"/>
    <col min="6" max="6" width="11.21875" bestFit="1" customWidth="1"/>
    <col min="7" max="7" width="10.88671875" bestFit="1" customWidth="1"/>
    <col min="8" max="8" width="8.109375" bestFit="1" customWidth="1"/>
    <col min="9" max="9" width="6.109375" bestFit="1" customWidth="1"/>
    <col min="10" max="10" width="7.109375" bestFit="1" customWidth="1"/>
    <col min="11" max="11" width="12.5546875" bestFit="1" customWidth="1"/>
    <col min="13" max="13" width="13.6640625" bestFit="1" customWidth="1"/>
    <col min="14" max="14" width="11.5546875" bestFit="1" customWidth="1"/>
    <col min="31" max="31" width="11" bestFit="1" customWidth="1"/>
    <col min="32" max="32" width="21.77734375" bestFit="1" customWidth="1"/>
    <col min="33" max="33" width="16.5546875" bestFit="1" customWidth="1"/>
    <col min="34" max="34" width="7.21875" bestFit="1" customWidth="1"/>
    <col min="35" max="35" width="11.21875" bestFit="1" customWidth="1"/>
    <col min="36" max="36" width="10.88671875" bestFit="1" customWidth="1"/>
    <col min="37" max="37" width="8.88671875" bestFit="1" customWidth="1"/>
    <col min="38" max="39" width="6.109375" bestFit="1" customWidth="1"/>
    <col min="40" max="40" width="14.33203125" bestFit="1" customWidth="1"/>
    <col min="41" max="41" width="12.5546875" bestFit="1" customWidth="1"/>
  </cols>
  <sheetData>
    <row r="1" spans="1:32" x14ac:dyDescent="0.3">
      <c r="A1" t="s">
        <v>0</v>
      </c>
      <c r="B1" s="1" t="s">
        <v>1</v>
      </c>
      <c r="C1" t="s">
        <v>2</v>
      </c>
      <c r="D1" t="s">
        <v>3</v>
      </c>
      <c r="E1" t="s">
        <v>4</v>
      </c>
      <c r="F1" t="s">
        <v>5</v>
      </c>
      <c r="G1" t="s">
        <v>6</v>
      </c>
      <c r="H1" t="s">
        <v>7</v>
      </c>
      <c r="I1" t="s">
        <v>8</v>
      </c>
      <c r="J1" t="s">
        <v>9</v>
      </c>
      <c r="K1" t="s">
        <v>10</v>
      </c>
      <c r="M1" s="9" t="s">
        <v>11</v>
      </c>
      <c r="N1" s="9"/>
      <c r="O1" s="2"/>
    </row>
    <row r="2" spans="1:32" ht="15.6" x14ac:dyDescent="0.3">
      <c r="A2">
        <v>1</v>
      </c>
      <c r="B2" s="1">
        <v>45171</v>
      </c>
      <c r="C2" t="str">
        <f>TEXT(B2,"mmm")</f>
        <v>Sep</v>
      </c>
      <c r="D2" t="s">
        <v>12</v>
      </c>
      <c r="E2" t="s">
        <v>13</v>
      </c>
      <c r="F2" t="s">
        <v>14</v>
      </c>
      <c r="G2" t="s">
        <v>15</v>
      </c>
      <c r="H2">
        <v>3</v>
      </c>
      <c r="I2">
        <v>10000</v>
      </c>
      <c r="J2">
        <v>30000</v>
      </c>
      <c r="K2">
        <f>AVERAGE(J2,,E2)</f>
        <v>15000</v>
      </c>
      <c r="M2" s="7" t="s">
        <v>16</v>
      </c>
      <c r="N2" t="s">
        <v>17</v>
      </c>
      <c r="AE2" s="10" t="s">
        <v>18</v>
      </c>
      <c r="AF2" s="10"/>
    </row>
    <row r="3" spans="1:32" ht="16.2" x14ac:dyDescent="0.3">
      <c r="A3">
        <v>2</v>
      </c>
      <c r="B3" s="1">
        <v>45124</v>
      </c>
      <c r="C3" t="str">
        <f t="shared" ref="C3:C66" si="0">TEXT(B3,"mmm")</f>
        <v>Jul</v>
      </c>
      <c r="D3" t="s">
        <v>19</v>
      </c>
      <c r="E3" t="s">
        <v>13</v>
      </c>
      <c r="F3" t="s">
        <v>20</v>
      </c>
      <c r="G3" t="s">
        <v>21</v>
      </c>
      <c r="H3">
        <v>4</v>
      </c>
      <c r="I3">
        <v>5000</v>
      </c>
      <c r="J3">
        <v>20000</v>
      </c>
      <c r="K3">
        <f t="shared" ref="K3:K66" si="1">AVERAGE(J3,,E3)</f>
        <v>10000</v>
      </c>
      <c r="M3" s="3" t="s">
        <v>13</v>
      </c>
      <c r="N3" s="8">
        <v>3268000</v>
      </c>
      <c r="AE3" s="4" t="s">
        <v>0</v>
      </c>
      <c r="AF3" s="4" t="s">
        <v>9</v>
      </c>
    </row>
    <row r="4" spans="1:32" x14ac:dyDescent="0.3">
      <c r="A4">
        <v>3</v>
      </c>
      <c r="B4" s="1">
        <v>45281</v>
      </c>
      <c r="C4" t="str">
        <f t="shared" si="0"/>
        <v>Dec</v>
      </c>
      <c r="D4" t="s">
        <v>22</v>
      </c>
      <c r="E4" t="s">
        <v>13</v>
      </c>
      <c r="F4" t="s">
        <v>20</v>
      </c>
      <c r="G4" t="s">
        <v>21</v>
      </c>
      <c r="H4">
        <v>3</v>
      </c>
      <c r="I4">
        <v>1000</v>
      </c>
      <c r="J4">
        <v>3000</v>
      </c>
      <c r="K4">
        <f t="shared" si="1"/>
        <v>1500</v>
      </c>
      <c r="M4" s="3" t="s">
        <v>23</v>
      </c>
      <c r="N4" s="8">
        <v>1338000</v>
      </c>
      <c r="AE4">
        <v>1</v>
      </c>
      <c r="AF4">
        <f>VLOOKUP(AE4,$A$1:$K$250,11,0)</f>
        <v>15000</v>
      </c>
    </row>
    <row r="5" spans="1:32" x14ac:dyDescent="0.3">
      <c r="A5">
        <v>4</v>
      </c>
      <c r="B5" s="1">
        <v>45253</v>
      </c>
      <c r="C5" t="str">
        <f t="shared" si="0"/>
        <v>Nov</v>
      </c>
      <c r="D5" t="s">
        <v>24</v>
      </c>
      <c r="E5" t="s">
        <v>25</v>
      </c>
      <c r="F5" t="s">
        <v>14</v>
      </c>
      <c r="G5" t="s">
        <v>15</v>
      </c>
      <c r="H5">
        <v>3</v>
      </c>
      <c r="I5">
        <v>10000</v>
      </c>
      <c r="J5">
        <v>30000</v>
      </c>
      <c r="K5">
        <f t="shared" si="1"/>
        <v>15000</v>
      </c>
      <c r="M5" s="3" t="s">
        <v>25</v>
      </c>
      <c r="N5" s="8">
        <v>3288000</v>
      </c>
      <c r="AE5">
        <v>2</v>
      </c>
      <c r="AF5">
        <f t="shared" ref="AF5:AF15" si="2">VLOOKUP(AE5,$A$1:$K$250,11,0)</f>
        <v>10000</v>
      </c>
    </row>
    <row r="6" spans="1:32" x14ac:dyDescent="0.3">
      <c r="A6">
        <v>5</v>
      </c>
      <c r="B6" s="1">
        <v>45154</v>
      </c>
      <c r="C6" t="str">
        <f t="shared" si="0"/>
        <v>Aug</v>
      </c>
      <c r="D6" t="s">
        <v>26</v>
      </c>
      <c r="E6" t="s">
        <v>13</v>
      </c>
      <c r="F6" t="s">
        <v>27</v>
      </c>
      <c r="G6" t="s">
        <v>15</v>
      </c>
      <c r="H6">
        <v>2</v>
      </c>
      <c r="I6">
        <v>10000</v>
      </c>
      <c r="J6">
        <v>20000</v>
      </c>
      <c r="K6">
        <f t="shared" si="1"/>
        <v>10000</v>
      </c>
      <c r="M6" s="3" t="s">
        <v>28</v>
      </c>
      <c r="N6" s="8">
        <v>885000</v>
      </c>
      <c r="AE6">
        <v>3</v>
      </c>
      <c r="AF6">
        <f t="shared" si="2"/>
        <v>1500</v>
      </c>
    </row>
    <row r="7" spans="1:32" x14ac:dyDescent="0.3">
      <c r="A7">
        <v>6</v>
      </c>
      <c r="B7" s="1">
        <v>44993</v>
      </c>
      <c r="C7" t="str">
        <f t="shared" si="0"/>
        <v>Mar</v>
      </c>
      <c r="D7" t="s">
        <v>29</v>
      </c>
      <c r="E7" t="s">
        <v>25</v>
      </c>
      <c r="F7" t="s">
        <v>30</v>
      </c>
      <c r="G7" t="s">
        <v>15</v>
      </c>
      <c r="H7">
        <v>3</v>
      </c>
      <c r="I7">
        <v>30000</v>
      </c>
      <c r="J7">
        <v>90000</v>
      </c>
      <c r="K7">
        <f t="shared" si="1"/>
        <v>45000</v>
      </c>
      <c r="M7" s="3" t="s">
        <v>31</v>
      </c>
      <c r="N7" s="8">
        <v>8779000</v>
      </c>
      <c r="AE7">
        <v>4</v>
      </c>
      <c r="AF7">
        <f t="shared" si="2"/>
        <v>15000</v>
      </c>
    </row>
    <row r="8" spans="1:32" x14ac:dyDescent="0.3">
      <c r="A8">
        <v>7</v>
      </c>
      <c r="B8" s="1">
        <v>44993</v>
      </c>
      <c r="C8" t="str">
        <f t="shared" si="0"/>
        <v>Mar</v>
      </c>
      <c r="D8" t="s">
        <v>26</v>
      </c>
      <c r="E8" t="s">
        <v>32</v>
      </c>
      <c r="F8" t="s">
        <v>27</v>
      </c>
      <c r="G8" t="s">
        <v>15</v>
      </c>
      <c r="H8">
        <v>3</v>
      </c>
      <c r="I8">
        <v>10000</v>
      </c>
      <c r="J8">
        <v>30000</v>
      </c>
      <c r="K8">
        <f t="shared" si="1"/>
        <v>15000</v>
      </c>
      <c r="AE8">
        <v>5</v>
      </c>
      <c r="AF8">
        <f t="shared" si="2"/>
        <v>10000</v>
      </c>
    </row>
    <row r="9" spans="1:32" x14ac:dyDescent="0.3">
      <c r="A9">
        <v>8</v>
      </c>
      <c r="B9" s="1">
        <v>45054</v>
      </c>
      <c r="C9" t="str">
        <f t="shared" si="0"/>
        <v>May</v>
      </c>
      <c r="D9" t="s">
        <v>33</v>
      </c>
      <c r="E9" t="s">
        <v>28</v>
      </c>
      <c r="F9" t="s">
        <v>34</v>
      </c>
      <c r="G9" t="s">
        <v>21</v>
      </c>
      <c r="H9">
        <v>3</v>
      </c>
      <c r="I9">
        <v>10000</v>
      </c>
      <c r="J9">
        <v>30000</v>
      </c>
      <c r="K9">
        <f t="shared" si="1"/>
        <v>15000</v>
      </c>
      <c r="M9" s="9" t="s">
        <v>35</v>
      </c>
      <c r="N9" s="9"/>
      <c r="AE9">
        <v>6</v>
      </c>
      <c r="AF9">
        <f t="shared" si="2"/>
        <v>45000</v>
      </c>
    </row>
    <row r="10" spans="1:32" x14ac:dyDescent="0.3">
      <c r="A10">
        <v>9</v>
      </c>
      <c r="B10" s="1">
        <v>45170</v>
      </c>
      <c r="C10" t="str">
        <f t="shared" si="0"/>
        <v>Sep</v>
      </c>
      <c r="D10" t="s">
        <v>36</v>
      </c>
      <c r="E10" t="s">
        <v>13</v>
      </c>
      <c r="F10" t="s">
        <v>20</v>
      </c>
      <c r="G10" t="s">
        <v>15</v>
      </c>
      <c r="H10">
        <v>3</v>
      </c>
      <c r="I10">
        <v>5000</v>
      </c>
      <c r="J10">
        <v>15000</v>
      </c>
      <c r="K10">
        <f t="shared" si="1"/>
        <v>7500</v>
      </c>
      <c r="M10" s="7" t="s">
        <v>16</v>
      </c>
      <c r="N10" t="s">
        <v>37</v>
      </c>
      <c r="AE10">
        <v>7</v>
      </c>
      <c r="AF10">
        <f t="shared" si="2"/>
        <v>15000</v>
      </c>
    </row>
    <row r="11" spans="1:32" x14ac:dyDescent="0.3">
      <c r="A11">
        <v>10</v>
      </c>
      <c r="B11" s="1">
        <v>45027</v>
      </c>
      <c r="C11" t="str">
        <f t="shared" si="0"/>
        <v>Apr</v>
      </c>
      <c r="D11" t="s">
        <v>38</v>
      </c>
      <c r="E11" t="s">
        <v>13</v>
      </c>
      <c r="F11" t="s">
        <v>20</v>
      </c>
      <c r="G11" t="s">
        <v>21</v>
      </c>
      <c r="H11">
        <v>5</v>
      </c>
      <c r="I11">
        <v>10000</v>
      </c>
      <c r="J11">
        <v>50000</v>
      </c>
      <c r="K11">
        <f t="shared" si="1"/>
        <v>25000</v>
      </c>
      <c r="M11" s="3" t="s">
        <v>13</v>
      </c>
      <c r="N11" s="8">
        <v>1634000</v>
      </c>
      <c r="AE11">
        <v>8</v>
      </c>
      <c r="AF11">
        <f t="shared" si="2"/>
        <v>15000</v>
      </c>
    </row>
    <row r="12" spans="1:32" x14ac:dyDescent="0.3">
      <c r="A12">
        <v>11</v>
      </c>
      <c r="B12" s="1">
        <v>45027</v>
      </c>
      <c r="C12" t="str">
        <f t="shared" si="0"/>
        <v>Apr</v>
      </c>
      <c r="D12" t="s">
        <v>39</v>
      </c>
      <c r="E12" t="s">
        <v>25</v>
      </c>
      <c r="F12" t="s">
        <v>27</v>
      </c>
      <c r="G12" t="s">
        <v>15</v>
      </c>
      <c r="H12">
        <v>4</v>
      </c>
      <c r="I12">
        <v>1000</v>
      </c>
      <c r="J12">
        <v>4000</v>
      </c>
      <c r="K12">
        <f t="shared" si="1"/>
        <v>2000</v>
      </c>
      <c r="M12" s="3" t="s">
        <v>23</v>
      </c>
      <c r="N12" s="8">
        <v>669000</v>
      </c>
      <c r="AE12">
        <v>9</v>
      </c>
      <c r="AF12">
        <f t="shared" si="2"/>
        <v>7500</v>
      </c>
    </row>
    <row r="13" spans="1:32" x14ac:dyDescent="0.3">
      <c r="A13">
        <v>12</v>
      </c>
      <c r="B13" s="1">
        <v>45008</v>
      </c>
      <c r="C13" t="str">
        <f t="shared" si="0"/>
        <v>Mar</v>
      </c>
      <c r="D13" t="s">
        <v>40</v>
      </c>
      <c r="E13" t="s">
        <v>13</v>
      </c>
      <c r="F13" t="s">
        <v>41</v>
      </c>
      <c r="G13" t="s">
        <v>15</v>
      </c>
      <c r="H13">
        <v>3</v>
      </c>
      <c r="I13">
        <v>1000</v>
      </c>
      <c r="J13">
        <v>3000</v>
      </c>
      <c r="K13">
        <f t="shared" si="1"/>
        <v>1500</v>
      </c>
      <c r="M13" s="3" t="s">
        <v>25</v>
      </c>
      <c r="N13" s="8">
        <v>1644000</v>
      </c>
      <c r="AE13">
        <v>10</v>
      </c>
      <c r="AF13">
        <f t="shared" si="2"/>
        <v>25000</v>
      </c>
    </row>
    <row r="14" spans="1:32" x14ac:dyDescent="0.3">
      <c r="A14">
        <v>13</v>
      </c>
      <c r="B14" s="1">
        <v>45008</v>
      </c>
      <c r="C14" t="str">
        <f t="shared" si="0"/>
        <v>Mar</v>
      </c>
      <c r="D14" t="s">
        <v>42</v>
      </c>
      <c r="E14" t="s">
        <v>28</v>
      </c>
      <c r="F14" t="s">
        <v>30</v>
      </c>
      <c r="G14" t="s">
        <v>15</v>
      </c>
      <c r="H14">
        <v>3</v>
      </c>
      <c r="I14">
        <v>30000</v>
      </c>
      <c r="J14">
        <v>90000</v>
      </c>
      <c r="K14">
        <f t="shared" si="1"/>
        <v>45000</v>
      </c>
      <c r="M14" s="3" t="s">
        <v>28</v>
      </c>
      <c r="N14" s="8">
        <v>442500</v>
      </c>
      <c r="AE14">
        <v>11</v>
      </c>
      <c r="AF14">
        <f t="shared" si="2"/>
        <v>2000</v>
      </c>
    </row>
    <row r="15" spans="1:32" x14ac:dyDescent="0.3">
      <c r="A15">
        <v>14</v>
      </c>
      <c r="B15" s="1">
        <v>45163</v>
      </c>
      <c r="C15" t="str">
        <f t="shared" si="0"/>
        <v>Aug</v>
      </c>
      <c r="D15" t="s">
        <v>38</v>
      </c>
      <c r="E15" t="s">
        <v>23</v>
      </c>
      <c r="F15" t="s">
        <v>20</v>
      </c>
      <c r="G15" t="s">
        <v>21</v>
      </c>
      <c r="H15">
        <v>5</v>
      </c>
      <c r="I15">
        <v>10000</v>
      </c>
      <c r="J15">
        <v>50000</v>
      </c>
      <c r="K15">
        <f t="shared" si="1"/>
        <v>25000</v>
      </c>
      <c r="M15" s="3" t="s">
        <v>31</v>
      </c>
      <c r="N15" s="8">
        <v>4389500</v>
      </c>
      <c r="AE15">
        <v>12</v>
      </c>
      <c r="AF15">
        <f t="shared" si="2"/>
        <v>1500</v>
      </c>
    </row>
    <row r="16" spans="1:32" x14ac:dyDescent="0.3">
      <c r="A16">
        <v>15</v>
      </c>
      <c r="B16" s="1">
        <v>45046</v>
      </c>
      <c r="C16" t="str">
        <f t="shared" si="0"/>
        <v>Apr</v>
      </c>
      <c r="D16" t="s">
        <v>43</v>
      </c>
      <c r="E16" t="s">
        <v>13</v>
      </c>
      <c r="F16" t="s">
        <v>27</v>
      </c>
      <c r="G16" t="s">
        <v>21</v>
      </c>
      <c r="H16">
        <v>5</v>
      </c>
      <c r="I16">
        <v>20000</v>
      </c>
      <c r="J16">
        <v>100000</v>
      </c>
      <c r="K16">
        <f t="shared" si="1"/>
        <v>50000</v>
      </c>
    </row>
    <row r="17" spans="1:40" x14ac:dyDescent="0.3">
      <c r="A17">
        <v>16</v>
      </c>
      <c r="B17" s="1">
        <v>45046</v>
      </c>
      <c r="C17" t="str">
        <f t="shared" si="0"/>
        <v>Apr</v>
      </c>
      <c r="D17" t="s">
        <v>43</v>
      </c>
      <c r="E17" t="s">
        <v>23</v>
      </c>
      <c r="F17" t="s">
        <v>27</v>
      </c>
      <c r="G17" t="s">
        <v>15</v>
      </c>
      <c r="H17">
        <v>2</v>
      </c>
      <c r="I17">
        <v>10000</v>
      </c>
      <c r="J17">
        <v>20000</v>
      </c>
      <c r="K17">
        <f t="shared" si="1"/>
        <v>10000</v>
      </c>
      <c r="M17" s="9" t="s">
        <v>44</v>
      </c>
      <c r="N17" s="9"/>
    </row>
    <row r="18" spans="1:40" ht="15.6" x14ac:dyDescent="0.3">
      <c r="A18">
        <v>18</v>
      </c>
      <c r="B18" s="1">
        <v>45021</v>
      </c>
      <c r="C18" t="str">
        <f t="shared" si="0"/>
        <v>Apr</v>
      </c>
      <c r="D18" t="s">
        <v>33</v>
      </c>
      <c r="E18" t="s">
        <v>13</v>
      </c>
      <c r="F18" t="s">
        <v>20</v>
      </c>
      <c r="G18" t="s">
        <v>15</v>
      </c>
      <c r="H18">
        <v>3</v>
      </c>
      <c r="I18">
        <v>1000</v>
      </c>
      <c r="J18">
        <v>3000</v>
      </c>
      <c r="K18">
        <f t="shared" si="1"/>
        <v>1500</v>
      </c>
      <c r="M18" s="7" t="s">
        <v>16</v>
      </c>
      <c r="N18" t="s">
        <v>17</v>
      </c>
      <c r="AE18" s="5" t="s">
        <v>45</v>
      </c>
      <c r="AF18" s="5"/>
      <c r="AG18" s="5"/>
      <c r="AH18" s="5"/>
      <c r="AI18" s="5"/>
      <c r="AJ18" s="5"/>
      <c r="AK18" s="5"/>
      <c r="AL18" s="5"/>
      <c r="AM18" s="5"/>
      <c r="AN18" s="5"/>
    </row>
    <row r="19" spans="1:40" ht="15.6" x14ac:dyDescent="0.3">
      <c r="A19">
        <v>19</v>
      </c>
      <c r="B19" s="1">
        <v>45066</v>
      </c>
      <c r="C19" t="str">
        <f t="shared" si="0"/>
        <v>May</v>
      </c>
      <c r="D19" t="s">
        <v>38</v>
      </c>
      <c r="E19" t="s">
        <v>25</v>
      </c>
      <c r="F19" t="s">
        <v>34</v>
      </c>
      <c r="G19" t="s">
        <v>15</v>
      </c>
      <c r="H19">
        <v>1</v>
      </c>
      <c r="I19">
        <v>10000</v>
      </c>
      <c r="J19">
        <v>10000</v>
      </c>
      <c r="K19">
        <f t="shared" si="1"/>
        <v>5000</v>
      </c>
      <c r="M19" s="3" t="s">
        <v>21</v>
      </c>
      <c r="N19" s="8">
        <v>2678000</v>
      </c>
      <c r="AE19" s="5" t="s">
        <v>0</v>
      </c>
      <c r="AF19" s="5" t="s">
        <v>2</v>
      </c>
      <c r="AG19" s="5" t="s">
        <v>3</v>
      </c>
      <c r="AH19" s="5" t="s">
        <v>4</v>
      </c>
      <c r="AI19" s="5" t="s">
        <v>5</v>
      </c>
      <c r="AJ19" s="5" t="s">
        <v>6</v>
      </c>
      <c r="AK19" s="5" t="s">
        <v>7</v>
      </c>
      <c r="AL19" s="5" t="s">
        <v>8</v>
      </c>
      <c r="AM19" s="5" t="s">
        <v>9</v>
      </c>
      <c r="AN19" s="5" t="s">
        <v>10</v>
      </c>
    </row>
    <row r="20" spans="1:40" x14ac:dyDescent="0.3">
      <c r="A20">
        <v>20</v>
      </c>
      <c r="B20" s="1">
        <v>45066</v>
      </c>
      <c r="C20" t="str">
        <f t="shared" si="0"/>
        <v>May</v>
      </c>
      <c r="D20" t="s">
        <v>38</v>
      </c>
      <c r="E20" t="s">
        <v>25</v>
      </c>
      <c r="F20" t="s">
        <v>14</v>
      </c>
      <c r="G20" t="s">
        <v>15</v>
      </c>
      <c r="H20">
        <v>1</v>
      </c>
      <c r="I20">
        <v>5000</v>
      </c>
      <c r="J20">
        <v>5000</v>
      </c>
      <c r="K20">
        <f t="shared" si="1"/>
        <v>2500</v>
      </c>
      <c r="M20" s="3" t="s">
        <v>15</v>
      </c>
      <c r="N20" s="8">
        <v>6101000</v>
      </c>
      <c r="AE20">
        <f>HLOOKUP(AE19,A1:K250,2,0)</f>
        <v>1</v>
      </c>
      <c r="AF20" t="str">
        <f t="shared" ref="AF20:AN29" si="3">HLOOKUP(AF19,B1:L250,2,0)</f>
        <v>Sep</v>
      </c>
      <c r="AG20" t="str">
        <f t="shared" si="3"/>
        <v>Customer_24</v>
      </c>
      <c r="AH20" t="str">
        <f t="shared" si="3"/>
        <v>East</v>
      </c>
      <c r="AI20" t="str">
        <f t="shared" si="3"/>
        <v>Headphones</v>
      </c>
      <c r="AJ20" t="str">
        <f t="shared" si="3"/>
        <v>Electronics</v>
      </c>
      <c r="AK20">
        <f t="shared" si="3"/>
        <v>3</v>
      </c>
      <c r="AL20">
        <f t="shared" si="3"/>
        <v>10000</v>
      </c>
      <c r="AM20">
        <f t="shared" si="3"/>
        <v>30000</v>
      </c>
      <c r="AN20">
        <f t="shared" si="3"/>
        <v>15000</v>
      </c>
    </row>
    <row r="21" spans="1:40" x14ac:dyDescent="0.3">
      <c r="A21">
        <v>21</v>
      </c>
      <c r="B21" s="1">
        <v>45066</v>
      </c>
      <c r="C21" t="str">
        <f t="shared" si="0"/>
        <v>May</v>
      </c>
      <c r="D21" t="s">
        <v>46</v>
      </c>
      <c r="E21" t="s">
        <v>13</v>
      </c>
      <c r="F21" t="s">
        <v>34</v>
      </c>
      <c r="G21" t="s">
        <v>15</v>
      </c>
      <c r="H21">
        <v>3</v>
      </c>
      <c r="I21">
        <v>1000</v>
      </c>
      <c r="J21">
        <v>3000</v>
      </c>
      <c r="K21">
        <f t="shared" si="1"/>
        <v>1500</v>
      </c>
      <c r="M21" s="3" t="s">
        <v>31</v>
      </c>
      <c r="N21" s="8">
        <v>8779000</v>
      </c>
      <c r="AE21">
        <f t="shared" ref="AE21:AE29" si="4">HLOOKUP(AE20,A2:K251,2,0)</f>
        <v>2</v>
      </c>
      <c r="AF21" t="str">
        <f t="shared" si="3"/>
        <v>Jul</v>
      </c>
      <c r="AG21" t="str">
        <f t="shared" si="3"/>
        <v>Customer_27</v>
      </c>
      <c r="AH21" t="str">
        <f t="shared" si="3"/>
        <v>East</v>
      </c>
      <c r="AI21" t="str">
        <f t="shared" si="3"/>
        <v>Monitor</v>
      </c>
      <c r="AJ21" t="str">
        <f t="shared" si="3"/>
        <v>Accessories</v>
      </c>
      <c r="AK21">
        <f t="shared" si="3"/>
        <v>4</v>
      </c>
      <c r="AL21">
        <f t="shared" si="3"/>
        <v>5000</v>
      </c>
      <c r="AM21">
        <f t="shared" si="3"/>
        <v>20000</v>
      </c>
      <c r="AN21">
        <f t="shared" si="3"/>
        <v>10000</v>
      </c>
    </row>
    <row r="22" spans="1:40" x14ac:dyDescent="0.3">
      <c r="A22">
        <v>22</v>
      </c>
      <c r="B22" s="1">
        <v>45149</v>
      </c>
      <c r="C22" t="str">
        <f t="shared" si="0"/>
        <v>Aug</v>
      </c>
      <c r="D22" t="s">
        <v>47</v>
      </c>
      <c r="E22" t="s">
        <v>13</v>
      </c>
      <c r="F22" t="s">
        <v>20</v>
      </c>
      <c r="G22" t="s">
        <v>15</v>
      </c>
      <c r="H22">
        <v>2</v>
      </c>
      <c r="I22">
        <v>20000</v>
      </c>
      <c r="J22">
        <v>40000</v>
      </c>
      <c r="K22">
        <f t="shared" si="1"/>
        <v>20000</v>
      </c>
      <c r="AE22">
        <f t="shared" si="4"/>
        <v>3</v>
      </c>
      <c r="AF22" t="str">
        <f t="shared" si="3"/>
        <v>Dec</v>
      </c>
      <c r="AG22" t="str">
        <f t="shared" si="3"/>
        <v>Customer_31</v>
      </c>
      <c r="AH22" t="str">
        <f t="shared" si="3"/>
        <v>East</v>
      </c>
      <c r="AI22" t="str">
        <f t="shared" si="3"/>
        <v>Monitor</v>
      </c>
      <c r="AJ22" t="str">
        <f t="shared" si="3"/>
        <v>Accessories</v>
      </c>
      <c r="AK22">
        <f t="shared" si="3"/>
        <v>3</v>
      </c>
      <c r="AL22">
        <f t="shared" si="3"/>
        <v>1000</v>
      </c>
      <c r="AM22">
        <f t="shared" si="3"/>
        <v>3000</v>
      </c>
      <c r="AN22">
        <f t="shared" si="3"/>
        <v>1500</v>
      </c>
    </row>
    <row r="23" spans="1:40" x14ac:dyDescent="0.3">
      <c r="A23">
        <v>23</v>
      </c>
      <c r="B23" s="1">
        <v>45062</v>
      </c>
      <c r="C23" t="str">
        <f t="shared" si="0"/>
        <v>May</v>
      </c>
      <c r="D23" t="s">
        <v>38</v>
      </c>
      <c r="E23" t="s">
        <v>25</v>
      </c>
      <c r="F23" t="s">
        <v>20</v>
      </c>
      <c r="G23" t="s">
        <v>15</v>
      </c>
      <c r="H23">
        <v>1</v>
      </c>
      <c r="I23">
        <v>10000</v>
      </c>
      <c r="J23">
        <v>10000</v>
      </c>
      <c r="K23">
        <f t="shared" si="1"/>
        <v>5000</v>
      </c>
      <c r="M23" s="9" t="s">
        <v>48</v>
      </c>
      <c r="N23" s="9"/>
      <c r="AE23">
        <f t="shared" si="4"/>
        <v>4</v>
      </c>
      <c r="AF23" t="str">
        <f t="shared" si="3"/>
        <v>Nov</v>
      </c>
      <c r="AG23" t="str">
        <f t="shared" si="3"/>
        <v>Customer_32</v>
      </c>
      <c r="AH23" t="str">
        <f t="shared" si="3"/>
        <v>south</v>
      </c>
      <c r="AI23" t="str">
        <f t="shared" si="3"/>
        <v>Headphones</v>
      </c>
      <c r="AJ23" t="str">
        <f t="shared" si="3"/>
        <v>Electronics</v>
      </c>
      <c r="AK23">
        <f t="shared" si="3"/>
        <v>3</v>
      </c>
      <c r="AL23">
        <f t="shared" si="3"/>
        <v>10000</v>
      </c>
      <c r="AM23">
        <f t="shared" si="3"/>
        <v>30000</v>
      </c>
      <c r="AN23">
        <f t="shared" si="3"/>
        <v>15000</v>
      </c>
    </row>
    <row r="24" spans="1:40" x14ac:dyDescent="0.3">
      <c r="A24">
        <v>24</v>
      </c>
      <c r="B24" s="1">
        <v>44937</v>
      </c>
      <c r="C24" t="str">
        <f t="shared" si="0"/>
        <v>Jan</v>
      </c>
      <c r="D24" t="s">
        <v>49</v>
      </c>
      <c r="E24" t="s">
        <v>13</v>
      </c>
      <c r="F24" t="s">
        <v>20</v>
      </c>
      <c r="G24" t="s">
        <v>15</v>
      </c>
      <c r="H24">
        <v>3</v>
      </c>
      <c r="I24">
        <v>10000</v>
      </c>
      <c r="J24">
        <v>30000</v>
      </c>
      <c r="K24">
        <f t="shared" si="1"/>
        <v>15000</v>
      </c>
      <c r="M24" s="7" t="s">
        <v>16</v>
      </c>
      <c r="N24" t="s">
        <v>17</v>
      </c>
      <c r="AE24">
        <f t="shared" si="4"/>
        <v>5</v>
      </c>
      <c r="AF24" t="str">
        <f t="shared" si="3"/>
        <v>Aug</v>
      </c>
      <c r="AG24" t="str">
        <f t="shared" si="3"/>
        <v>Customer_12</v>
      </c>
      <c r="AH24" t="str">
        <f t="shared" si="3"/>
        <v>East</v>
      </c>
      <c r="AI24" t="str">
        <f t="shared" si="3"/>
        <v>laptop</v>
      </c>
      <c r="AJ24" t="str">
        <f t="shared" si="3"/>
        <v>Electronics</v>
      </c>
      <c r="AK24">
        <f t="shared" si="3"/>
        <v>2</v>
      </c>
      <c r="AL24">
        <f t="shared" si="3"/>
        <v>10000</v>
      </c>
      <c r="AM24">
        <f t="shared" si="3"/>
        <v>20000</v>
      </c>
      <c r="AN24">
        <f t="shared" si="3"/>
        <v>10000</v>
      </c>
    </row>
    <row r="25" spans="1:40" x14ac:dyDescent="0.3">
      <c r="A25">
        <v>25</v>
      </c>
      <c r="B25" s="1">
        <v>45125</v>
      </c>
      <c r="C25" t="str">
        <f t="shared" si="0"/>
        <v>Jul</v>
      </c>
      <c r="D25" t="s">
        <v>50</v>
      </c>
      <c r="E25" t="s">
        <v>25</v>
      </c>
      <c r="F25" t="s">
        <v>41</v>
      </c>
      <c r="G25" t="s">
        <v>21</v>
      </c>
      <c r="H25">
        <v>2</v>
      </c>
      <c r="I25">
        <v>1000</v>
      </c>
      <c r="J25">
        <v>2000</v>
      </c>
      <c r="K25">
        <f t="shared" si="1"/>
        <v>1000</v>
      </c>
      <c r="M25" s="3" t="s">
        <v>14</v>
      </c>
      <c r="N25" s="8">
        <v>1010000</v>
      </c>
      <c r="AE25">
        <f t="shared" si="4"/>
        <v>6</v>
      </c>
      <c r="AF25" t="str">
        <f t="shared" si="3"/>
        <v>Mar</v>
      </c>
      <c r="AG25" t="str">
        <f t="shared" si="3"/>
        <v>Customer_29</v>
      </c>
      <c r="AH25" t="str">
        <f t="shared" si="3"/>
        <v>south</v>
      </c>
      <c r="AI25" t="str">
        <f t="shared" si="3"/>
        <v>Phone</v>
      </c>
      <c r="AJ25" t="str">
        <f t="shared" si="3"/>
        <v>Electronics</v>
      </c>
      <c r="AK25">
        <f t="shared" si="3"/>
        <v>3</v>
      </c>
      <c r="AL25">
        <f t="shared" si="3"/>
        <v>30000</v>
      </c>
      <c r="AM25">
        <f t="shared" si="3"/>
        <v>90000</v>
      </c>
      <c r="AN25">
        <f t="shared" si="3"/>
        <v>45000</v>
      </c>
    </row>
    <row r="26" spans="1:40" x14ac:dyDescent="0.3">
      <c r="A26">
        <v>26</v>
      </c>
      <c r="B26" s="1">
        <v>45174</v>
      </c>
      <c r="C26" t="str">
        <f t="shared" si="0"/>
        <v>Sep</v>
      </c>
      <c r="D26" t="s">
        <v>46</v>
      </c>
      <c r="E26" t="s">
        <v>13</v>
      </c>
      <c r="F26" t="s">
        <v>41</v>
      </c>
      <c r="G26" t="s">
        <v>21</v>
      </c>
      <c r="H26">
        <v>3</v>
      </c>
      <c r="I26">
        <v>20000</v>
      </c>
      <c r="J26">
        <v>60000</v>
      </c>
      <c r="K26">
        <f t="shared" si="1"/>
        <v>30000</v>
      </c>
      <c r="M26" s="3" t="s">
        <v>27</v>
      </c>
      <c r="N26" s="8">
        <v>2140000</v>
      </c>
      <c r="AE26">
        <f t="shared" si="4"/>
        <v>7</v>
      </c>
      <c r="AF26" t="str">
        <f t="shared" si="3"/>
        <v>Mar</v>
      </c>
      <c r="AG26" t="str">
        <f t="shared" si="3"/>
        <v>Customer_12</v>
      </c>
      <c r="AH26" t="str">
        <f t="shared" si="3"/>
        <v>South</v>
      </c>
      <c r="AI26" t="str">
        <f t="shared" si="3"/>
        <v>laptop</v>
      </c>
      <c r="AJ26" t="str">
        <f t="shared" si="3"/>
        <v>Electronics</v>
      </c>
      <c r="AK26">
        <f t="shared" si="3"/>
        <v>3</v>
      </c>
      <c r="AL26">
        <f t="shared" si="3"/>
        <v>10000</v>
      </c>
      <c r="AM26">
        <f t="shared" si="3"/>
        <v>30000</v>
      </c>
      <c r="AN26">
        <f t="shared" si="3"/>
        <v>15000</v>
      </c>
    </row>
    <row r="27" spans="1:40" x14ac:dyDescent="0.3">
      <c r="A27">
        <v>27</v>
      </c>
      <c r="B27" s="1">
        <v>45251</v>
      </c>
      <c r="C27" t="str">
        <f t="shared" si="0"/>
        <v>Nov</v>
      </c>
      <c r="D27" t="s">
        <v>51</v>
      </c>
      <c r="E27" t="s">
        <v>32</v>
      </c>
      <c r="F27" t="s">
        <v>30</v>
      </c>
      <c r="G27" t="s">
        <v>15</v>
      </c>
      <c r="H27">
        <v>2</v>
      </c>
      <c r="I27">
        <v>10000</v>
      </c>
      <c r="J27">
        <v>20000</v>
      </c>
      <c r="K27">
        <f t="shared" si="1"/>
        <v>10000</v>
      </c>
      <c r="M27" s="3" t="s">
        <v>20</v>
      </c>
      <c r="N27" s="8">
        <v>3137000</v>
      </c>
      <c r="AE27">
        <f t="shared" si="4"/>
        <v>8</v>
      </c>
      <c r="AF27" t="str">
        <f t="shared" si="3"/>
        <v>May</v>
      </c>
      <c r="AG27" t="str">
        <f t="shared" si="3"/>
        <v>Customer_33</v>
      </c>
      <c r="AH27" t="str">
        <f t="shared" si="3"/>
        <v>West</v>
      </c>
      <c r="AI27" t="str">
        <f t="shared" si="3"/>
        <v>Laptop</v>
      </c>
      <c r="AJ27" t="str">
        <f t="shared" si="3"/>
        <v>Accessories</v>
      </c>
      <c r="AK27">
        <f t="shared" si="3"/>
        <v>3</v>
      </c>
      <c r="AL27">
        <f t="shared" si="3"/>
        <v>10000</v>
      </c>
      <c r="AM27">
        <f t="shared" si="3"/>
        <v>30000</v>
      </c>
      <c r="AN27">
        <f t="shared" si="3"/>
        <v>15000</v>
      </c>
    </row>
    <row r="28" spans="1:40" x14ac:dyDescent="0.3">
      <c r="A28">
        <v>28</v>
      </c>
      <c r="B28" s="1">
        <v>45141</v>
      </c>
      <c r="C28" t="str">
        <f t="shared" si="0"/>
        <v>Aug</v>
      </c>
      <c r="D28" t="s">
        <v>12</v>
      </c>
      <c r="E28" t="s">
        <v>28</v>
      </c>
      <c r="F28" t="s">
        <v>30</v>
      </c>
      <c r="G28" t="s">
        <v>21</v>
      </c>
      <c r="H28">
        <v>2</v>
      </c>
      <c r="I28">
        <v>10000</v>
      </c>
      <c r="J28">
        <v>20000</v>
      </c>
      <c r="K28">
        <f t="shared" si="1"/>
        <v>10000</v>
      </c>
      <c r="M28" s="3" t="s">
        <v>30</v>
      </c>
      <c r="N28" s="8">
        <v>1195000</v>
      </c>
      <c r="AE28">
        <f t="shared" si="4"/>
        <v>9</v>
      </c>
      <c r="AF28" t="str">
        <f t="shared" si="3"/>
        <v>Sep</v>
      </c>
      <c r="AG28" t="str">
        <f t="shared" si="3"/>
        <v>Customer_7</v>
      </c>
      <c r="AH28" t="str">
        <f t="shared" si="3"/>
        <v>East</v>
      </c>
      <c r="AI28" t="str">
        <f t="shared" si="3"/>
        <v>Monitor</v>
      </c>
      <c r="AJ28" t="str">
        <f t="shared" si="3"/>
        <v>Electronics</v>
      </c>
      <c r="AK28">
        <f t="shared" si="3"/>
        <v>3</v>
      </c>
      <c r="AL28">
        <f t="shared" si="3"/>
        <v>5000</v>
      </c>
      <c r="AM28">
        <f t="shared" si="3"/>
        <v>15000</v>
      </c>
      <c r="AN28">
        <f t="shared" si="3"/>
        <v>7500</v>
      </c>
    </row>
    <row r="29" spans="1:40" x14ac:dyDescent="0.3">
      <c r="A29">
        <v>29</v>
      </c>
      <c r="B29" s="1">
        <v>44967</v>
      </c>
      <c r="C29" t="str">
        <f t="shared" si="0"/>
        <v>Feb</v>
      </c>
      <c r="D29" t="s">
        <v>51</v>
      </c>
      <c r="E29" t="s">
        <v>32</v>
      </c>
      <c r="F29" t="s">
        <v>14</v>
      </c>
      <c r="G29" t="s">
        <v>15</v>
      </c>
      <c r="H29">
        <v>3</v>
      </c>
      <c r="I29">
        <v>5000</v>
      </c>
      <c r="J29">
        <v>15000</v>
      </c>
      <c r="K29">
        <f t="shared" si="1"/>
        <v>7500</v>
      </c>
      <c r="M29" s="3" t="s">
        <v>41</v>
      </c>
      <c r="N29" s="8">
        <v>1297000</v>
      </c>
      <c r="AE29">
        <f t="shared" si="4"/>
        <v>10</v>
      </c>
      <c r="AF29" t="str">
        <f t="shared" si="3"/>
        <v>Apr</v>
      </c>
      <c r="AG29" t="str">
        <f t="shared" si="3"/>
        <v>Customer_35</v>
      </c>
      <c r="AH29" t="str">
        <f t="shared" si="3"/>
        <v>East</v>
      </c>
      <c r="AI29" t="str">
        <f t="shared" si="3"/>
        <v>Monitor</v>
      </c>
      <c r="AJ29" t="str">
        <f t="shared" si="3"/>
        <v>Accessories</v>
      </c>
      <c r="AK29">
        <f t="shared" si="3"/>
        <v>5</v>
      </c>
      <c r="AL29">
        <f t="shared" si="3"/>
        <v>10000</v>
      </c>
      <c r="AM29">
        <f t="shared" si="3"/>
        <v>50000</v>
      </c>
      <c r="AN29">
        <f t="shared" si="3"/>
        <v>25000</v>
      </c>
    </row>
    <row r="30" spans="1:40" x14ac:dyDescent="0.3">
      <c r="A30">
        <v>30</v>
      </c>
      <c r="B30" s="1">
        <v>45001</v>
      </c>
      <c r="C30" t="str">
        <f t="shared" si="0"/>
        <v>Mar</v>
      </c>
      <c r="D30" t="s">
        <v>52</v>
      </c>
      <c r="E30" t="s">
        <v>32</v>
      </c>
      <c r="F30" t="s">
        <v>27</v>
      </c>
      <c r="G30" t="s">
        <v>15</v>
      </c>
      <c r="H30">
        <v>2</v>
      </c>
      <c r="I30">
        <v>10000</v>
      </c>
      <c r="J30">
        <v>20000</v>
      </c>
      <c r="K30">
        <f t="shared" si="1"/>
        <v>10000</v>
      </c>
      <c r="M30" s="3" t="s">
        <v>31</v>
      </c>
      <c r="N30" s="8">
        <v>8779000</v>
      </c>
    </row>
    <row r="31" spans="1:40" x14ac:dyDescent="0.3">
      <c r="A31">
        <v>31</v>
      </c>
      <c r="B31" s="1">
        <v>45015</v>
      </c>
      <c r="C31" t="str">
        <f t="shared" si="0"/>
        <v>Mar</v>
      </c>
      <c r="D31" t="s">
        <v>38</v>
      </c>
      <c r="E31" t="s">
        <v>23</v>
      </c>
      <c r="F31" t="s">
        <v>20</v>
      </c>
      <c r="G31" t="s">
        <v>15</v>
      </c>
      <c r="H31">
        <v>3</v>
      </c>
      <c r="I31">
        <v>30000</v>
      </c>
      <c r="J31">
        <v>90000</v>
      </c>
      <c r="K31">
        <f t="shared" si="1"/>
        <v>45000</v>
      </c>
    </row>
    <row r="32" spans="1:40" x14ac:dyDescent="0.3">
      <c r="A32">
        <v>32</v>
      </c>
      <c r="B32" s="1">
        <v>45276</v>
      </c>
      <c r="C32" t="str">
        <f t="shared" si="0"/>
        <v>Dec</v>
      </c>
      <c r="D32" t="s">
        <v>53</v>
      </c>
      <c r="E32" t="s">
        <v>25</v>
      </c>
      <c r="F32" t="s">
        <v>20</v>
      </c>
      <c r="G32" t="s">
        <v>15</v>
      </c>
      <c r="H32">
        <v>4</v>
      </c>
      <c r="I32">
        <v>10000</v>
      </c>
      <c r="J32">
        <v>40000</v>
      </c>
      <c r="K32">
        <f t="shared" si="1"/>
        <v>20000</v>
      </c>
      <c r="M32" s="9" t="s">
        <v>54</v>
      </c>
      <c r="N32" s="9"/>
    </row>
    <row r="33" spans="1:14" x14ac:dyDescent="0.3">
      <c r="A33">
        <v>33</v>
      </c>
      <c r="B33" s="1">
        <v>45219</v>
      </c>
      <c r="C33" t="str">
        <f t="shared" si="0"/>
        <v>Oct</v>
      </c>
      <c r="D33" t="s">
        <v>50</v>
      </c>
      <c r="E33" t="s">
        <v>32</v>
      </c>
      <c r="F33" t="s">
        <v>41</v>
      </c>
      <c r="G33" t="s">
        <v>15</v>
      </c>
      <c r="H33">
        <v>3</v>
      </c>
      <c r="I33">
        <v>10000</v>
      </c>
      <c r="J33">
        <v>30000</v>
      </c>
      <c r="K33">
        <f t="shared" si="1"/>
        <v>15000</v>
      </c>
      <c r="M33" s="7" t="s">
        <v>16</v>
      </c>
      <c r="N33" t="s">
        <v>17</v>
      </c>
    </row>
    <row r="34" spans="1:14" x14ac:dyDescent="0.3">
      <c r="A34">
        <v>34</v>
      </c>
      <c r="B34" s="1">
        <v>45266</v>
      </c>
      <c r="C34" t="str">
        <f t="shared" si="0"/>
        <v>Dec</v>
      </c>
      <c r="D34" t="s">
        <v>19</v>
      </c>
      <c r="E34" t="s">
        <v>13</v>
      </c>
      <c r="F34" t="s">
        <v>34</v>
      </c>
      <c r="G34" t="s">
        <v>15</v>
      </c>
      <c r="H34">
        <v>3</v>
      </c>
      <c r="I34">
        <v>10000</v>
      </c>
      <c r="J34">
        <v>30000</v>
      </c>
      <c r="K34">
        <f t="shared" si="1"/>
        <v>15000</v>
      </c>
      <c r="M34" s="3" t="s">
        <v>55</v>
      </c>
      <c r="N34" s="8">
        <v>695000</v>
      </c>
    </row>
    <row r="35" spans="1:14" x14ac:dyDescent="0.3">
      <c r="A35">
        <v>35</v>
      </c>
      <c r="B35" s="1">
        <v>45225</v>
      </c>
      <c r="C35" t="str">
        <f t="shared" si="0"/>
        <v>Oct</v>
      </c>
      <c r="D35" t="s">
        <v>56</v>
      </c>
      <c r="E35" t="s">
        <v>13</v>
      </c>
      <c r="F35" t="s">
        <v>34</v>
      </c>
      <c r="G35" t="s">
        <v>15</v>
      </c>
      <c r="H35">
        <v>1</v>
      </c>
      <c r="I35">
        <v>1000</v>
      </c>
      <c r="J35">
        <v>1000</v>
      </c>
      <c r="K35">
        <f t="shared" si="1"/>
        <v>500</v>
      </c>
      <c r="M35" s="3" t="s">
        <v>57</v>
      </c>
      <c r="N35" s="8">
        <v>993000</v>
      </c>
    </row>
    <row r="36" spans="1:14" x14ac:dyDescent="0.3">
      <c r="A36">
        <v>36</v>
      </c>
      <c r="B36" s="1">
        <v>44975</v>
      </c>
      <c r="C36" t="str">
        <f t="shared" si="0"/>
        <v>Feb</v>
      </c>
      <c r="D36" t="s">
        <v>38</v>
      </c>
      <c r="E36" t="s">
        <v>13</v>
      </c>
      <c r="F36" t="s">
        <v>14</v>
      </c>
      <c r="G36" t="s">
        <v>21</v>
      </c>
      <c r="H36">
        <v>3</v>
      </c>
      <c r="I36">
        <v>1000</v>
      </c>
      <c r="J36">
        <v>3000</v>
      </c>
      <c r="K36">
        <f t="shared" si="1"/>
        <v>1500</v>
      </c>
      <c r="M36" s="3" t="s">
        <v>58</v>
      </c>
      <c r="N36" s="8">
        <v>966000</v>
      </c>
    </row>
    <row r="37" spans="1:14" x14ac:dyDescent="0.3">
      <c r="A37">
        <v>37</v>
      </c>
      <c r="B37" s="1">
        <v>45167</v>
      </c>
      <c r="C37" t="str">
        <f t="shared" si="0"/>
        <v>Aug</v>
      </c>
      <c r="D37" t="s">
        <v>59</v>
      </c>
      <c r="E37" t="s">
        <v>32</v>
      </c>
      <c r="F37" t="s">
        <v>14</v>
      </c>
      <c r="G37" t="s">
        <v>15</v>
      </c>
      <c r="H37">
        <v>4</v>
      </c>
      <c r="I37">
        <v>10000</v>
      </c>
      <c r="J37">
        <v>40000</v>
      </c>
      <c r="K37">
        <f t="shared" si="1"/>
        <v>20000</v>
      </c>
      <c r="M37" s="3" t="s">
        <v>60</v>
      </c>
      <c r="N37" s="8">
        <v>872000</v>
      </c>
    </row>
    <row r="38" spans="1:14" x14ac:dyDescent="0.3">
      <c r="A38">
        <v>38</v>
      </c>
      <c r="B38" s="1">
        <v>45143</v>
      </c>
      <c r="C38" t="str">
        <f t="shared" si="0"/>
        <v>Aug</v>
      </c>
      <c r="D38" t="s">
        <v>49</v>
      </c>
      <c r="E38" t="s">
        <v>23</v>
      </c>
      <c r="F38" t="s">
        <v>20</v>
      </c>
      <c r="G38" t="s">
        <v>15</v>
      </c>
      <c r="H38">
        <v>2</v>
      </c>
      <c r="I38">
        <v>10000</v>
      </c>
      <c r="J38">
        <v>20000</v>
      </c>
      <c r="K38">
        <f t="shared" si="1"/>
        <v>10000</v>
      </c>
      <c r="M38" s="3" t="s">
        <v>61</v>
      </c>
      <c r="N38" s="8">
        <v>771000</v>
      </c>
    </row>
    <row r="39" spans="1:14" x14ac:dyDescent="0.3">
      <c r="A39">
        <v>39</v>
      </c>
      <c r="B39" s="1">
        <v>45033</v>
      </c>
      <c r="C39" t="str">
        <f t="shared" si="0"/>
        <v>Apr</v>
      </c>
      <c r="D39" t="s">
        <v>26</v>
      </c>
      <c r="E39" t="s">
        <v>23</v>
      </c>
      <c r="F39" t="s">
        <v>20</v>
      </c>
      <c r="G39" t="s">
        <v>15</v>
      </c>
      <c r="H39">
        <v>3</v>
      </c>
      <c r="I39">
        <v>30000</v>
      </c>
      <c r="J39">
        <v>90000</v>
      </c>
      <c r="K39">
        <f t="shared" si="1"/>
        <v>45000</v>
      </c>
      <c r="M39" s="3" t="s">
        <v>62</v>
      </c>
      <c r="N39" s="8">
        <v>602000</v>
      </c>
    </row>
    <row r="40" spans="1:14" x14ac:dyDescent="0.3">
      <c r="A40">
        <v>40</v>
      </c>
      <c r="B40" s="1">
        <v>44948</v>
      </c>
      <c r="C40" t="str">
        <f t="shared" si="0"/>
        <v>Jan</v>
      </c>
      <c r="D40" t="s">
        <v>59</v>
      </c>
      <c r="E40" t="s">
        <v>13</v>
      </c>
      <c r="F40" t="s">
        <v>30</v>
      </c>
      <c r="G40" t="s">
        <v>15</v>
      </c>
      <c r="H40">
        <v>3</v>
      </c>
      <c r="I40">
        <v>10000</v>
      </c>
      <c r="J40">
        <v>30000</v>
      </c>
      <c r="K40">
        <f t="shared" si="1"/>
        <v>15000</v>
      </c>
      <c r="M40" s="3" t="s">
        <v>63</v>
      </c>
      <c r="N40" s="8">
        <v>544000</v>
      </c>
    </row>
    <row r="41" spans="1:14" x14ac:dyDescent="0.3">
      <c r="A41">
        <v>41</v>
      </c>
      <c r="B41" s="1">
        <v>45004</v>
      </c>
      <c r="C41" t="str">
        <f t="shared" si="0"/>
        <v>Mar</v>
      </c>
      <c r="D41" t="s">
        <v>22</v>
      </c>
      <c r="E41" t="s">
        <v>28</v>
      </c>
      <c r="F41" t="s">
        <v>41</v>
      </c>
      <c r="G41" t="s">
        <v>15</v>
      </c>
      <c r="H41">
        <v>3</v>
      </c>
      <c r="I41">
        <v>10000</v>
      </c>
      <c r="J41">
        <v>30000</v>
      </c>
      <c r="K41">
        <f t="shared" si="1"/>
        <v>15000</v>
      </c>
      <c r="M41" s="3" t="s">
        <v>64</v>
      </c>
      <c r="N41" s="8">
        <v>708000</v>
      </c>
    </row>
    <row r="42" spans="1:14" x14ac:dyDescent="0.3">
      <c r="A42">
        <v>42</v>
      </c>
      <c r="B42" s="1">
        <v>45266</v>
      </c>
      <c r="C42" t="str">
        <f t="shared" si="0"/>
        <v>Dec</v>
      </c>
      <c r="D42" t="s">
        <v>50</v>
      </c>
      <c r="E42" t="s">
        <v>32</v>
      </c>
      <c r="F42" t="s">
        <v>20</v>
      </c>
      <c r="G42" t="s">
        <v>15</v>
      </c>
      <c r="H42">
        <v>2</v>
      </c>
      <c r="I42">
        <v>10000</v>
      </c>
      <c r="J42">
        <v>20000</v>
      </c>
      <c r="K42">
        <f t="shared" si="1"/>
        <v>10000</v>
      </c>
      <c r="M42" s="3" t="s">
        <v>65</v>
      </c>
      <c r="N42" s="8">
        <v>690000</v>
      </c>
    </row>
    <row r="43" spans="1:14" x14ac:dyDescent="0.3">
      <c r="A43">
        <v>43</v>
      </c>
      <c r="B43" s="1">
        <v>44936</v>
      </c>
      <c r="C43" t="str">
        <f t="shared" si="0"/>
        <v>Jan</v>
      </c>
      <c r="D43" t="s">
        <v>66</v>
      </c>
      <c r="E43" t="s">
        <v>13</v>
      </c>
      <c r="F43" t="s">
        <v>20</v>
      </c>
      <c r="G43" t="s">
        <v>15</v>
      </c>
      <c r="H43">
        <v>2</v>
      </c>
      <c r="I43">
        <v>5000</v>
      </c>
      <c r="J43">
        <v>10000</v>
      </c>
      <c r="K43">
        <f t="shared" si="1"/>
        <v>5000</v>
      </c>
      <c r="M43" s="3" t="s">
        <v>67</v>
      </c>
      <c r="N43" s="8">
        <v>468000</v>
      </c>
    </row>
    <row r="44" spans="1:14" x14ac:dyDescent="0.3">
      <c r="A44">
        <v>44</v>
      </c>
      <c r="B44" s="1">
        <v>45086</v>
      </c>
      <c r="C44" t="str">
        <f t="shared" si="0"/>
        <v>Jun</v>
      </c>
      <c r="D44" t="s">
        <v>68</v>
      </c>
      <c r="E44" t="s">
        <v>13</v>
      </c>
      <c r="F44" t="s">
        <v>27</v>
      </c>
      <c r="G44" t="s">
        <v>15</v>
      </c>
      <c r="H44">
        <v>3</v>
      </c>
      <c r="I44">
        <v>5000</v>
      </c>
      <c r="J44">
        <v>15000</v>
      </c>
      <c r="K44">
        <f t="shared" si="1"/>
        <v>7500</v>
      </c>
      <c r="M44" s="3" t="s">
        <v>69</v>
      </c>
      <c r="N44" s="8">
        <v>565000</v>
      </c>
    </row>
    <row r="45" spans="1:14" x14ac:dyDescent="0.3">
      <c r="A45">
        <v>45</v>
      </c>
      <c r="B45" s="1">
        <v>45203</v>
      </c>
      <c r="C45" t="str">
        <f t="shared" si="0"/>
        <v>Oct</v>
      </c>
      <c r="D45" t="s">
        <v>24</v>
      </c>
      <c r="E45" t="s">
        <v>32</v>
      </c>
      <c r="F45" t="s">
        <v>14</v>
      </c>
      <c r="G45" t="s">
        <v>15</v>
      </c>
      <c r="H45">
        <v>3</v>
      </c>
      <c r="I45">
        <v>5000</v>
      </c>
      <c r="J45">
        <v>15000</v>
      </c>
      <c r="K45">
        <f t="shared" si="1"/>
        <v>7500</v>
      </c>
      <c r="M45" s="3" t="s">
        <v>70</v>
      </c>
      <c r="N45" s="8">
        <v>905000</v>
      </c>
    </row>
    <row r="46" spans="1:14" x14ac:dyDescent="0.3">
      <c r="A46">
        <v>46</v>
      </c>
      <c r="B46" s="1">
        <v>44967</v>
      </c>
      <c r="C46" t="str">
        <f t="shared" si="0"/>
        <v>Feb</v>
      </c>
      <c r="D46" t="s">
        <v>71</v>
      </c>
      <c r="E46" t="s">
        <v>23</v>
      </c>
      <c r="F46" t="s">
        <v>41</v>
      </c>
      <c r="G46" t="s">
        <v>15</v>
      </c>
      <c r="H46">
        <v>5</v>
      </c>
      <c r="I46">
        <v>20000</v>
      </c>
      <c r="J46">
        <v>100000</v>
      </c>
      <c r="K46">
        <f t="shared" si="1"/>
        <v>50000</v>
      </c>
      <c r="M46" s="3" t="s">
        <v>31</v>
      </c>
      <c r="N46" s="8">
        <v>8779000</v>
      </c>
    </row>
    <row r="47" spans="1:14" x14ac:dyDescent="0.3">
      <c r="A47">
        <v>47</v>
      </c>
      <c r="B47" s="1">
        <v>45083</v>
      </c>
      <c r="C47" t="str">
        <f t="shared" si="0"/>
        <v>Jun</v>
      </c>
      <c r="D47" t="s">
        <v>72</v>
      </c>
      <c r="E47" t="s">
        <v>28</v>
      </c>
      <c r="F47" t="s">
        <v>20</v>
      </c>
      <c r="G47" t="s">
        <v>21</v>
      </c>
      <c r="H47">
        <v>3</v>
      </c>
      <c r="I47">
        <v>10000</v>
      </c>
      <c r="J47">
        <v>30000</v>
      </c>
      <c r="K47">
        <f t="shared" si="1"/>
        <v>15000</v>
      </c>
    </row>
    <row r="48" spans="1:14" x14ac:dyDescent="0.3">
      <c r="A48">
        <v>48</v>
      </c>
      <c r="B48" s="1">
        <v>44943</v>
      </c>
      <c r="C48" t="str">
        <f t="shared" si="0"/>
        <v>Jan</v>
      </c>
      <c r="D48" t="s">
        <v>73</v>
      </c>
      <c r="E48" t="s">
        <v>32</v>
      </c>
      <c r="F48" t="s">
        <v>41</v>
      </c>
      <c r="G48" t="s">
        <v>21</v>
      </c>
      <c r="H48">
        <v>5</v>
      </c>
      <c r="I48">
        <v>10000</v>
      </c>
      <c r="J48">
        <v>50000</v>
      </c>
      <c r="K48">
        <f t="shared" si="1"/>
        <v>25000</v>
      </c>
      <c r="M48" s="9" t="s">
        <v>74</v>
      </c>
      <c r="N48" s="9"/>
    </row>
    <row r="49" spans="1:14" x14ac:dyDescent="0.3">
      <c r="A49">
        <v>49</v>
      </c>
      <c r="B49" s="1">
        <v>45026</v>
      </c>
      <c r="C49" t="str">
        <f t="shared" si="0"/>
        <v>Apr</v>
      </c>
      <c r="D49" t="s">
        <v>75</v>
      </c>
      <c r="E49" t="s">
        <v>13</v>
      </c>
      <c r="F49" t="s">
        <v>20</v>
      </c>
      <c r="G49" t="s">
        <v>21</v>
      </c>
      <c r="H49">
        <v>3</v>
      </c>
      <c r="I49">
        <v>10000</v>
      </c>
      <c r="J49">
        <v>30000</v>
      </c>
      <c r="K49">
        <f t="shared" si="1"/>
        <v>15000</v>
      </c>
      <c r="M49" s="7" t="s">
        <v>16</v>
      </c>
      <c r="N49" t="s">
        <v>76</v>
      </c>
    </row>
    <row r="50" spans="1:14" x14ac:dyDescent="0.3">
      <c r="A50">
        <v>50</v>
      </c>
      <c r="B50" s="1">
        <v>45036</v>
      </c>
      <c r="C50" t="str">
        <f t="shared" si="0"/>
        <v>Apr</v>
      </c>
      <c r="D50" t="s">
        <v>77</v>
      </c>
      <c r="E50" t="s">
        <v>13</v>
      </c>
      <c r="F50" t="s">
        <v>34</v>
      </c>
      <c r="G50" t="s">
        <v>15</v>
      </c>
      <c r="H50">
        <v>1</v>
      </c>
      <c r="I50">
        <v>10000</v>
      </c>
      <c r="J50">
        <v>10000</v>
      </c>
      <c r="K50">
        <f t="shared" si="1"/>
        <v>5000</v>
      </c>
      <c r="M50" s="3" t="s">
        <v>21</v>
      </c>
      <c r="N50" s="8">
        <v>227</v>
      </c>
    </row>
    <row r="51" spans="1:14" x14ac:dyDescent="0.3">
      <c r="A51">
        <v>51</v>
      </c>
      <c r="B51" s="1">
        <v>45102</v>
      </c>
      <c r="C51" t="str">
        <f t="shared" si="0"/>
        <v>Jun</v>
      </c>
      <c r="D51" t="s">
        <v>78</v>
      </c>
      <c r="E51" t="s">
        <v>25</v>
      </c>
      <c r="F51" t="s">
        <v>20</v>
      </c>
      <c r="G51" t="s">
        <v>15</v>
      </c>
      <c r="H51">
        <v>3</v>
      </c>
      <c r="I51">
        <v>1000</v>
      </c>
      <c r="J51">
        <v>3000</v>
      </c>
      <c r="K51">
        <f t="shared" si="1"/>
        <v>1500</v>
      </c>
      <c r="M51" s="3" t="s">
        <v>15</v>
      </c>
      <c r="N51" s="8">
        <v>493</v>
      </c>
    </row>
    <row r="52" spans="1:14" x14ac:dyDescent="0.3">
      <c r="A52">
        <v>52</v>
      </c>
      <c r="B52" s="1">
        <v>45007</v>
      </c>
      <c r="C52" t="str">
        <f t="shared" si="0"/>
        <v>Mar</v>
      </c>
      <c r="D52" t="s">
        <v>71</v>
      </c>
      <c r="E52" t="s">
        <v>32</v>
      </c>
      <c r="F52" t="s">
        <v>34</v>
      </c>
      <c r="G52" t="s">
        <v>15</v>
      </c>
      <c r="H52">
        <v>5</v>
      </c>
      <c r="I52">
        <v>1000</v>
      </c>
      <c r="J52">
        <v>5000</v>
      </c>
      <c r="K52">
        <f t="shared" si="1"/>
        <v>2500</v>
      </c>
      <c r="M52" s="3" t="s">
        <v>31</v>
      </c>
      <c r="N52" s="8">
        <v>720</v>
      </c>
    </row>
    <row r="53" spans="1:14" x14ac:dyDescent="0.3">
      <c r="A53">
        <v>53</v>
      </c>
      <c r="B53" s="1">
        <v>45288</v>
      </c>
      <c r="C53" t="str">
        <f t="shared" si="0"/>
        <v>Dec</v>
      </c>
      <c r="D53" t="s">
        <v>38</v>
      </c>
      <c r="E53" t="s">
        <v>28</v>
      </c>
      <c r="F53" t="s">
        <v>20</v>
      </c>
      <c r="G53" t="s">
        <v>15</v>
      </c>
      <c r="H53">
        <v>1</v>
      </c>
      <c r="I53">
        <v>10000</v>
      </c>
      <c r="J53">
        <v>10000</v>
      </c>
      <c r="K53">
        <f t="shared" si="1"/>
        <v>5000</v>
      </c>
    </row>
    <row r="54" spans="1:14" x14ac:dyDescent="0.3">
      <c r="A54">
        <v>54</v>
      </c>
      <c r="B54" s="1">
        <v>45001</v>
      </c>
      <c r="C54" t="str">
        <f t="shared" si="0"/>
        <v>Mar</v>
      </c>
      <c r="D54" t="s">
        <v>79</v>
      </c>
      <c r="E54" t="s">
        <v>28</v>
      </c>
      <c r="F54" t="s">
        <v>20</v>
      </c>
      <c r="G54" t="s">
        <v>21</v>
      </c>
      <c r="H54">
        <v>1</v>
      </c>
      <c r="I54">
        <v>10000</v>
      </c>
      <c r="J54">
        <v>10000</v>
      </c>
      <c r="K54">
        <f t="shared" si="1"/>
        <v>5000</v>
      </c>
      <c r="M54" s="9" t="s">
        <v>80</v>
      </c>
      <c r="N54" s="9"/>
    </row>
    <row r="55" spans="1:14" x14ac:dyDescent="0.3">
      <c r="A55">
        <v>55</v>
      </c>
      <c r="B55" s="1">
        <v>45077</v>
      </c>
      <c r="C55" t="str">
        <f t="shared" si="0"/>
        <v>May</v>
      </c>
      <c r="D55" t="s">
        <v>53</v>
      </c>
      <c r="E55" t="s">
        <v>13</v>
      </c>
      <c r="F55" t="s">
        <v>34</v>
      </c>
      <c r="G55" t="s">
        <v>15</v>
      </c>
      <c r="H55">
        <v>2</v>
      </c>
      <c r="I55">
        <v>30000</v>
      </c>
      <c r="J55">
        <v>60000</v>
      </c>
      <c r="K55">
        <f t="shared" si="1"/>
        <v>30000</v>
      </c>
      <c r="M55" s="7" t="s">
        <v>16</v>
      </c>
      <c r="N55" t="s">
        <v>76</v>
      </c>
    </row>
    <row r="56" spans="1:14" x14ac:dyDescent="0.3">
      <c r="A56">
        <v>56</v>
      </c>
      <c r="B56" s="1">
        <v>45025</v>
      </c>
      <c r="C56" t="str">
        <f t="shared" si="0"/>
        <v>Apr</v>
      </c>
      <c r="D56" t="s">
        <v>50</v>
      </c>
      <c r="E56" t="s">
        <v>13</v>
      </c>
      <c r="F56" t="s">
        <v>41</v>
      </c>
      <c r="G56" t="s">
        <v>21</v>
      </c>
      <c r="H56">
        <v>3</v>
      </c>
      <c r="I56">
        <v>1000</v>
      </c>
      <c r="J56">
        <v>3000</v>
      </c>
      <c r="K56">
        <f t="shared" si="1"/>
        <v>1500</v>
      </c>
      <c r="M56" s="3" t="s">
        <v>14</v>
      </c>
      <c r="N56" s="8">
        <v>95</v>
      </c>
    </row>
    <row r="57" spans="1:14" x14ac:dyDescent="0.3">
      <c r="A57">
        <v>57</v>
      </c>
      <c r="B57" s="1">
        <v>45239</v>
      </c>
      <c r="C57" t="str">
        <f t="shared" si="0"/>
        <v>Nov</v>
      </c>
      <c r="D57" t="s">
        <v>81</v>
      </c>
      <c r="E57" t="s">
        <v>32</v>
      </c>
      <c r="F57" t="s">
        <v>27</v>
      </c>
      <c r="G57" t="s">
        <v>21</v>
      </c>
      <c r="H57">
        <v>2</v>
      </c>
      <c r="I57">
        <v>30000</v>
      </c>
      <c r="J57">
        <v>60000</v>
      </c>
      <c r="K57">
        <f t="shared" si="1"/>
        <v>30000</v>
      </c>
      <c r="M57" s="3" t="s">
        <v>27</v>
      </c>
      <c r="N57" s="8">
        <v>172</v>
      </c>
    </row>
    <row r="58" spans="1:14" x14ac:dyDescent="0.3">
      <c r="A58">
        <v>58</v>
      </c>
      <c r="B58" s="1">
        <v>45194</v>
      </c>
      <c r="C58" t="str">
        <f t="shared" si="0"/>
        <v>Sep</v>
      </c>
      <c r="D58" t="s">
        <v>82</v>
      </c>
      <c r="E58" t="s">
        <v>25</v>
      </c>
      <c r="F58" t="s">
        <v>20</v>
      </c>
      <c r="G58" t="s">
        <v>21</v>
      </c>
      <c r="H58">
        <v>1</v>
      </c>
      <c r="I58">
        <v>5000</v>
      </c>
      <c r="J58">
        <v>5000</v>
      </c>
      <c r="K58">
        <f t="shared" si="1"/>
        <v>2500</v>
      </c>
      <c r="M58" s="3" t="s">
        <v>20</v>
      </c>
      <c r="N58" s="8">
        <v>259</v>
      </c>
    </row>
    <row r="59" spans="1:14" x14ac:dyDescent="0.3">
      <c r="A59">
        <v>59</v>
      </c>
      <c r="B59" s="1">
        <v>44967</v>
      </c>
      <c r="C59" t="str">
        <f t="shared" si="0"/>
        <v>Feb</v>
      </c>
      <c r="D59" t="s">
        <v>83</v>
      </c>
      <c r="E59" t="s">
        <v>13</v>
      </c>
      <c r="F59" t="s">
        <v>20</v>
      </c>
      <c r="G59" t="s">
        <v>15</v>
      </c>
      <c r="H59">
        <v>5</v>
      </c>
      <c r="I59">
        <v>10000</v>
      </c>
      <c r="J59">
        <v>50000</v>
      </c>
      <c r="K59">
        <f t="shared" si="1"/>
        <v>25000</v>
      </c>
      <c r="M59" s="3" t="s">
        <v>30</v>
      </c>
      <c r="N59" s="8">
        <v>85</v>
      </c>
    </row>
    <row r="60" spans="1:14" x14ac:dyDescent="0.3">
      <c r="A60">
        <v>60</v>
      </c>
      <c r="B60" s="1">
        <v>45048</v>
      </c>
      <c r="C60" t="str">
        <f t="shared" si="0"/>
        <v>May</v>
      </c>
      <c r="D60" t="s">
        <v>84</v>
      </c>
      <c r="E60" t="s">
        <v>13</v>
      </c>
      <c r="F60" t="s">
        <v>27</v>
      </c>
      <c r="G60" t="s">
        <v>15</v>
      </c>
      <c r="H60">
        <v>4</v>
      </c>
      <c r="I60">
        <v>5000</v>
      </c>
      <c r="J60">
        <v>20000</v>
      </c>
      <c r="K60">
        <f t="shared" si="1"/>
        <v>10000</v>
      </c>
      <c r="M60" s="3" t="s">
        <v>41</v>
      </c>
      <c r="N60" s="8">
        <v>109</v>
      </c>
    </row>
    <row r="61" spans="1:14" x14ac:dyDescent="0.3">
      <c r="A61">
        <v>61</v>
      </c>
      <c r="B61" s="1">
        <v>44995</v>
      </c>
      <c r="C61" t="str">
        <f t="shared" si="0"/>
        <v>Mar</v>
      </c>
      <c r="D61" t="s">
        <v>85</v>
      </c>
      <c r="E61" t="s">
        <v>13</v>
      </c>
      <c r="F61" t="s">
        <v>14</v>
      </c>
      <c r="G61" t="s">
        <v>21</v>
      </c>
      <c r="H61">
        <v>2</v>
      </c>
      <c r="I61">
        <v>30000</v>
      </c>
      <c r="J61">
        <v>60000</v>
      </c>
      <c r="K61">
        <f t="shared" si="1"/>
        <v>30000</v>
      </c>
      <c r="M61" s="3" t="s">
        <v>31</v>
      </c>
      <c r="N61" s="8">
        <v>720</v>
      </c>
    </row>
    <row r="62" spans="1:14" x14ac:dyDescent="0.3">
      <c r="A62">
        <v>62</v>
      </c>
      <c r="B62" s="1">
        <v>45279</v>
      </c>
      <c r="C62" t="str">
        <f t="shared" si="0"/>
        <v>Dec</v>
      </c>
      <c r="D62" t="s">
        <v>82</v>
      </c>
      <c r="E62" t="s">
        <v>13</v>
      </c>
      <c r="F62" t="s">
        <v>30</v>
      </c>
      <c r="G62" t="s">
        <v>15</v>
      </c>
      <c r="H62">
        <v>4</v>
      </c>
      <c r="I62">
        <v>10000</v>
      </c>
      <c r="J62">
        <v>40000</v>
      </c>
      <c r="K62">
        <f t="shared" si="1"/>
        <v>20000</v>
      </c>
    </row>
    <row r="63" spans="1:14" x14ac:dyDescent="0.3">
      <c r="A63">
        <v>63</v>
      </c>
      <c r="B63" s="1">
        <v>45025</v>
      </c>
      <c r="C63" t="str">
        <f t="shared" si="0"/>
        <v>Apr</v>
      </c>
      <c r="D63" t="s">
        <v>72</v>
      </c>
      <c r="E63" t="s">
        <v>32</v>
      </c>
      <c r="F63" t="s">
        <v>14</v>
      </c>
      <c r="G63" t="s">
        <v>15</v>
      </c>
      <c r="H63">
        <v>4</v>
      </c>
      <c r="I63">
        <v>10000</v>
      </c>
      <c r="J63">
        <v>40000</v>
      </c>
      <c r="K63">
        <f t="shared" si="1"/>
        <v>20000</v>
      </c>
      <c r="M63" s="9" t="s">
        <v>86</v>
      </c>
      <c r="N63" s="9"/>
    </row>
    <row r="64" spans="1:14" x14ac:dyDescent="0.3">
      <c r="A64">
        <v>64</v>
      </c>
      <c r="B64" s="1">
        <v>45025</v>
      </c>
      <c r="C64" t="str">
        <f t="shared" si="0"/>
        <v>Apr</v>
      </c>
      <c r="D64" t="s">
        <v>24</v>
      </c>
      <c r="E64" t="s">
        <v>13</v>
      </c>
      <c r="F64" t="s">
        <v>41</v>
      </c>
      <c r="G64" t="s">
        <v>15</v>
      </c>
      <c r="H64">
        <v>3</v>
      </c>
      <c r="I64">
        <v>20000</v>
      </c>
      <c r="J64">
        <v>60000</v>
      </c>
      <c r="K64">
        <f t="shared" si="1"/>
        <v>30000</v>
      </c>
      <c r="M64" s="7" t="s">
        <v>16</v>
      </c>
      <c r="N64" t="s">
        <v>17</v>
      </c>
    </row>
    <row r="65" spans="1:14" x14ac:dyDescent="0.3">
      <c r="A65">
        <v>65</v>
      </c>
      <c r="B65" s="1">
        <v>45044</v>
      </c>
      <c r="C65" t="str">
        <f t="shared" si="0"/>
        <v>Apr</v>
      </c>
      <c r="D65" t="s">
        <v>87</v>
      </c>
      <c r="E65" t="s">
        <v>13</v>
      </c>
      <c r="F65" t="s">
        <v>20</v>
      </c>
      <c r="G65" t="s">
        <v>21</v>
      </c>
      <c r="H65">
        <v>5</v>
      </c>
      <c r="I65">
        <v>10000</v>
      </c>
      <c r="J65">
        <v>50000</v>
      </c>
      <c r="K65">
        <f t="shared" si="1"/>
        <v>25000</v>
      </c>
      <c r="M65" s="3" t="s">
        <v>26</v>
      </c>
      <c r="N65" s="8">
        <v>335000</v>
      </c>
    </row>
    <row r="66" spans="1:14" x14ac:dyDescent="0.3">
      <c r="A66">
        <v>66</v>
      </c>
      <c r="B66" s="1">
        <v>45250</v>
      </c>
      <c r="C66" t="str">
        <f t="shared" si="0"/>
        <v>Nov</v>
      </c>
      <c r="D66" t="s">
        <v>71</v>
      </c>
      <c r="E66" t="s">
        <v>25</v>
      </c>
      <c r="F66" t="s">
        <v>27</v>
      </c>
      <c r="G66" t="s">
        <v>15</v>
      </c>
      <c r="H66">
        <v>3</v>
      </c>
      <c r="I66">
        <v>30000</v>
      </c>
      <c r="J66">
        <v>90000</v>
      </c>
      <c r="K66">
        <f t="shared" si="1"/>
        <v>45000</v>
      </c>
      <c r="M66" s="3" t="s">
        <v>88</v>
      </c>
      <c r="N66" s="8">
        <v>280000</v>
      </c>
    </row>
    <row r="67" spans="1:14" x14ac:dyDescent="0.3">
      <c r="A67">
        <v>67</v>
      </c>
      <c r="B67" s="1">
        <v>45279</v>
      </c>
      <c r="C67" t="str">
        <f t="shared" ref="C67:C130" si="5">TEXT(B67,"mmm")</f>
        <v>Dec</v>
      </c>
      <c r="D67" t="s">
        <v>39</v>
      </c>
      <c r="E67" t="s">
        <v>23</v>
      </c>
      <c r="F67" t="s">
        <v>34</v>
      </c>
      <c r="G67" t="s">
        <v>15</v>
      </c>
      <c r="H67">
        <v>3</v>
      </c>
      <c r="I67">
        <v>10000</v>
      </c>
      <c r="J67">
        <v>30000</v>
      </c>
      <c r="K67">
        <f t="shared" ref="K67:K130" si="6">AVERAGE(J67,,E67)</f>
        <v>15000</v>
      </c>
      <c r="M67" s="3" t="s">
        <v>89</v>
      </c>
      <c r="N67" s="8">
        <v>255000</v>
      </c>
    </row>
    <row r="68" spans="1:14" x14ac:dyDescent="0.3">
      <c r="A68">
        <v>68</v>
      </c>
      <c r="B68" s="1">
        <v>45172</v>
      </c>
      <c r="C68" t="str">
        <f t="shared" si="5"/>
        <v>Sep</v>
      </c>
      <c r="D68" t="s">
        <v>84</v>
      </c>
      <c r="E68" t="s">
        <v>25</v>
      </c>
      <c r="F68" t="s">
        <v>41</v>
      </c>
      <c r="G68" t="s">
        <v>15</v>
      </c>
      <c r="H68">
        <v>3</v>
      </c>
      <c r="I68">
        <v>20000</v>
      </c>
      <c r="J68">
        <v>60000</v>
      </c>
      <c r="K68">
        <f t="shared" si="6"/>
        <v>30000</v>
      </c>
      <c r="M68" s="3" t="s">
        <v>43</v>
      </c>
      <c r="N68" s="8">
        <v>370000</v>
      </c>
    </row>
    <row r="69" spans="1:14" x14ac:dyDescent="0.3">
      <c r="A69">
        <v>69</v>
      </c>
      <c r="B69" s="1">
        <v>45154</v>
      </c>
      <c r="C69" t="str">
        <f t="shared" si="5"/>
        <v>Aug</v>
      </c>
      <c r="D69" t="s">
        <v>77</v>
      </c>
      <c r="E69" t="s">
        <v>13</v>
      </c>
      <c r="F69" t="s">
        <v>30</v>
      </c>
      <c r="G69" t="s">
        <v>15</v>
      </c>
      <c r="H69">
        <v>2</v>
      </c>
      <c r="I69">
        <v>20000</v>
      </c>
      <c r="J69">
        <v>40000</v>
      </c>
      <c r="K69">
        <f t="shared" si="6"/>
        <v>20000</v>
      </c>
      <c r="M69" s="3" t="s">
        <v>90</v>
      </c>
      <c r="N69" s="8">
        <v>270000</v>
      </c>
    </row>
    <row r="70" spans="1:14" x14ac:dyDescent="0.3">
      <c r="A70">
        <v>70</v>
      </c>
      <c r="B70" s="1">
        <v>45193</v>
      </c>
      <c r="C70" t="str">
        <f t="shared" si="5"/>
        <v>Sep</v>
      </c>
      <c r="D70" t="s">
        <v>78</v>
      </c>
      <c r="E70" t="s">
        <v>13</v>
      </c>
      <c r="F70" t="s">
        <v>34</v>
      </c>
      <c r="G70" t="s">
        <v>15</v>
      </c>
      <c r="H70">
        <v>4</v>
      </c>
      <c r="I70">
        <v>10000</v>
      </c>
      <c r="J70">
        <v>40000</v>
      </c>
      <c r="K70">
        <f t="shared" si="6"/>
        <v>20000</v>
      </c>
      <c r="M70" s="3" t="s">
        <v>19</v>
      </c>
      <c r="N70" s="8">
        <v>285000</v>
      </c>
    </row>
    <row r="71" spans="1:14" x14ac:dyDescent="0.3">
      <c r="A71">
        <v>71</v>
      </c>
      <c r="B71" s="1">
        <v>44933</v>
      </c>
      <c r="C71" t="str">
        <f t="shared" si="5"/>
        <v>Jan</v>
      </c>
      <c r="D71" t="s">
        <v>75</v>
      </c>
      <c r="E71" t="s">
        <v>13</v>
      </c>
      <c r="F71" t="s">
        <v>27</v>
      </c>
      <c r="G71" t="s">
        <v>21</v>
      </c>
      <c r="H71">
        <v>4</v>
      </c>
      <c r="I71">
        <v>20000</v>
      </c>
      <c r="J71">
        <v>80000</v>
      </c>
      <c r="K71">
        <f t="shared" si="6"/>
        <v>40000</v>
      </c>
      <c r="M71" s="3" t="s">
        <v>22</v>
      </c>
      <c r="N71" s="8">
        <v>348000</v>
      </c>
    </row>
    <row r="72" spans="1:14" x14ac:dyDescent="0.3">
      <c r="A72">
        <v>72</v>
      </c>
      <c r="B72" s="1">
        <v>44985</v>
      </c>
      <c r="C72" t="str">
        <f t="shared" si="5"/>
        <v>Feb</v>
      </c>
      <c r="D72" t="s">
        <v>90</v>
      </c>
      <c r="E72" t="s">
        <v>13</v>
      </c>
      <c r="F72" t="s">
        <v>30</v>
      </c>
      <c r="G72" t="s">
        <v>15</v>
      </c>
      <c r="H72">
        <v>3</v>
      </c>
      <c r="I72">
        <v>30000</v>
      </c>
      <c r="J72">
        <v>90000</v>
      </c>
      <c r="K72">
        <f t="shared" si="6"/>
        <v>45000</v>
      </c>
      <c r="M72" s="3" t="s">
        <v>38</v>
      </c>
      <c r="N72" s="8">
        <v>965000</v>
      </c>
    </row>
    <row r="73" spans="1:14" x14ac:dyDescent="0.3">
      <c r="A73">
        <v>73</v>
      </c>
      <c r="B73" s="1">
        <v>45262</v>
      </c>
      <c r="C73" t="str">
        <f t="shared" si="5"/>
        <v>Dec</v>
      </c>
      <c r="D73" t="s">
        <v>19</v>
      </c>
      <c r="E73" t="s">
        <v>28</v>
      </c>
      <c r="F73" t="s">
        <v>20</v>
      </c>
      <c r="G73" t="s">
        <v>21</v>
      </c>
      <c r="H73">
        <v>3</v>
      </c>
      <c r="I73">
        <v>5000</v>
      </c>
      <c r="J73">
        <v>15000</v>
      </c>
      <c r="K73">
        <f t="shared" si="6"/>
        <v>7500</v>
      </c>
      <c r="M73" s="3" t="s">
        <v>46</v>
      </c>
      <c r="N73" s="8">
        <v>318000</v>
      </c>
    </row>
    <row r="74" spans="1:14" x14ac:dyDescent="0.3">
      <c r="A74">
        <v>74</v>
      </c>
      <c r="B74" s="1">
        <v>44964</v>
      </c>
      <c r="C74" t="str">
        <f t="shared" si="5"/>
        <v>Feb</v>
      </c>
      <c r="D74" t="s">
        <v>43</v>
      </c>
      <c r="E74" t="s">
        <v>25</v>
      </c>
      <c r="F74" t="s">
        <v>20</v>
      </c>
      <c r="G74" t="s">
        <v>21</v>
      </c>
      <c r="H74">
        <v>2</v>
      </c>
      <c r="I74">
        <v>10000</v>
      </c>
      <c r="J74">
        <v>20000</v>
      </c>
      <c r="K74">
        <f t="shared" si="6"/>
        <v>10000</v>
      </c>
      <c r="M74" s="3" t="s">
        <v>91</v>
      </c>
      <c r="N74" s="8">
        <v>355000</v>
      </c>
    </row>
    <row r="75" spans="1:14" x14ac:dyDescent="0.3">
      <c r="A75">
        <v>75</v>
      </c>
      <c r="B75" s="1">
        <v>45036</v>
      </c>
      <c r="C75" t="str">
        <f t="shared" si="5"/>
        <v>Apr</v>
      </c>
      <c r="D75" t="s">
        <v>56</v>
      </c>
      <c r="E75" t="s">
        <v>23</v>
      </c>
      <c r="F75" t="s">
        <v>34</v>
      </c>
      <c r="G75" t="s">
        <v>15</v>
      </c>
      <c r="H75">
        <v>2</v>
      </c>
      <c r="I75">
        <v>30000</v>
      </c>
      <c r="J75">
        <v>60000</v>
      </c>
      <c r="K75">
        <f t="shared" si="6"/>
        <v>30000</v>
      </c>
      <c r="M75" s="3" t="s">
        <v>31</v>
      </c>
      <c r="N75" s="8">
        <v>3781000</v>
      </c>
    </row>
    <row r="76" spans="1:14" x14ac:dyDescent="0.3">
      <c r="A76">
        <v>76</v>
      </c>
      <c r="B76" s="1">
        <v>45286</v>
      </c>
      <c r="C76" t="str">
        <f t="shared" si="5"/>
        <v>Dec</v>
      </c>
      <c r="D76" t="s">
        <v>38</v>
      </c>
      <c r="E76" t="s">
        <v>32</v>
      </c>
      <c r="F76" t="s">
        <v>20</v>
      </c>
      <c r="G76" t="s">
        <v>21</v>
      </c>
      <c r="H76">
        <v>5</v>
      </c>
      <c r="I76">
        <v>20000</v>
      </c>
      <c r="J76">
        <v>100000</v>
      </c>
      <c r="K76">
        <f t="shared" si="6"/>
        <v>50000</v>
      </c>
    </row>
    <row r="77" spans="1:14" x14ac:dyDescent="0.3">
      <c r="A77">
        <v>77</v>
      </c>
      <c r="B77" s="1">
        <v>45234</v>
      </c>
      <c r="C77" t="str">
        <f t="shared" si="5"/>
        <v>Nov</v>
      </c>
      <c r="D77" t="s">
        <v>92</v>
      </c>
      <c r="E77" t="s">
        <v>13</v>
      </c>
      <c r="F77" t="s">
        <v>34</v>
      </c>
      <c r="G77" t="s">
        <v>21</v>
      </c>
      <c r="H77">
        <v>5</v>
      </c>
      <c r="I77">
        <v>30000</v>
      </c>
      <c r="J77">
        <v>150000</v>
      </c>
      <c r="K77">
        <f t="shared" si="6"/>
        <v>75000</v>
      </c>
    </row>
    <row r="78" spans="1:14" x14ac:dyDescent="0.3">
      <c r="A78">
        <v>78</v>
      </c>
      <c r="B78" s="1">
        <v>45262</v>
      </c>
      <c r="C78" t="str">
        <f t="shared" si="5"/>
        <v>Dec</v>
      </c>
      <c r="D78" t="s">
        <v>93</v>
      </c>
      <c r="E78" t="s">
        <v>13</v>
      </c>
      <c r="F78" t="s">
        <v>14</v>
      </c>
      <c r="G78" t="s">
        <v>15</v>
      </c>
      <c r="H78">
        <v>2</v>
      </c>
      <c r="I78">
        <v>10000</v>
      </c>
      <c r="J78">
        <v>20000</v>
      </c>
      <c r="K78">
        <f t="shared" si="6"/>
        <v>10000</v>
      </c>
    </row>
    <row r="79" spans="1:14" x14ac:dyDescent="0.3">
      <c r="A79">
        <v>79</v>
      </c>
      <c r="B79" s="1">
        <v>45231</v>
      </c>
      <c r="C79" t="str">
        <f t="shared" si="5"/>
        <v>Nov</v>
      </c>
      <c r="D79" t="s">
        <v>68</v>
      </c>
      <c r="E79" t="s">
        <v>23</v>
      </c>
      <c r="F79" t="s">
        <v>20</v>
      </c>
      <c r="G79" t="s">
        <v>15</v>
      </c>
      <c r="H79">
        <v>3</v>
      </c>
      <c r="I79">
        <v>5000</v>
      </c>
      <c r="J79">
        <v>15000</v>
      </c>
      <c r="K79">
        <f t="shared" si="6"/>
        <v>7500</v>
      </c>
    </row>
    <row r="80" spans="1:14" x14ac:dyDescent="0.3">
      <c r="A80">
        <v>80</v>
      </c>
      <c r="B80" s="1">
        <v>45270</v>
      </c>
      <c r="C80" t="str">
        <f t="shared" si="5"/>
        <v>Dec</v>
      </c>
      <c r="D80" t="s">
        <v>46</v>
      </c>
      <c r="E80" t="s">
        <v>23</v>
      </c>
      <c r="F80" t="s">
        <v>34</v>
      </c>
      <c r="G80" t="s">
        <v>15</v>
      </c>
      <c r="H80">
        <v>3</v>
      </c>
      <c r="I80">
        <v>10000</v>
      </c>
      <c r="J80">
        <v>30000</v>
      </c>
      <c r="K80">
        <f t="shared" si="6"/>
        <v>15000</v>
      </c>
    </row>
    <row r="81" spans="1:11" x14ac:dyDescent="0.3">
      <c r="A81">
        <v>81</v>
      </c>
      <c r="B81" s="1">
        <v>44979</v>
      </c>
      <c r="C81" t="str">
        <f t="shared" si="5"/>
        <v>Feb</v>
      </c>
      <c r="D81" t="s">
        <v>94</v>
      </c>
      <c r="E81" t="s">
        <v>13</v>
      </c>
      <c r="F81" t="s">
        <v>20</v>
      </c>
      <c r="G81" t="s">
        <v>15</v>
      </c>
      <c r="H81">
        <v>5</v>
      </c>
      <c r="I81">
        <v>10000</v>
      </c>
      <c r="J81">
        <v>50000</v>
      </c>
      <c r="K81">
        <f t="shared" si="6"/>
        <v>25000</v>
      </c>
    </row>
    <row r="82" spans="1:11" x14ac:dyDescent="0.3">
      <c r="A82">
        <v>82</v>
      </c>
      <c r="B82" s="1">
        <v>44936</v>
      </c>
      <c r="C82" t="str">
        <f t="shared" si="5"/>
        <v>Jan</v>
      </c>
      <c r="D82" t="s">
        <v>33</v>
      </c>
      <c r="E82" t="s">
        <v>28</v>
      </c>
      <c r="F82" t="s">
        <v>30</v>
      </c>
      <c r="G82" t="s">
        <v>15</v>
      </c>
      <c r="H82">
        <v>2</v>
      </c>
      <c r="I82">
        <v>5000</v>
      </c>
      <c r="J82">
        <v>10000</v>
      </c>
      <c r="K82">
        <f t="shared" si="6"/>
        <v>5000</v>
      </c>
    </row>
    <row r="83" spans="1:11" x14ac:dyDescent="0.3">
      <c r="A83">
        <v>83</v>
      </c>
      <c r="B83" s="1">
        <v>45007</v>
      </c>
      <c r="C83" t="str">
        <f t="shared" si="5"/>
        <v>Mar</v>
      </c>
      <c r="D83" t="s">
        <v>95</v>
      </c>
      <c r="E83" t="s">
        <v>13</v>
      </c>
      <c r="F83" t="s">
        <v>20</v>
      </c>
      <c r="G83" t="s">
        <v>15</v>
      </c>
      <c r="H83">
        <v>3</v>
      </c>
      <c r="I83">
        <v>10000</v>
      </c>
      <c r="J83">
        <v>30000</v>
      </c>
      <c r="K83">
        <f t="shared" si="6"/>
        <v>15000</v>
      </c>
    </row>
    <row r="84" spans="1:11" x14ac:dyDescent="0.3">
      <c r="A84">
        <v>84</v>
      </c>
      <c r="B84" s="1">
        <v>45109</v>
      </c>
      <c r="C84" t="str">
        <f t="shared" si="5"/>
        <v>Jul</v>
      </c>
      <c r="D84" t="s">
        <v>38</v>
      </c>
      <c r="E84" t="s">
        <v>13</v>
      </c>
      <c r="F84" t="s">
        <v>20</v>
      </c>
      <c r="G84" t="s">
        <v>21</v>
      </c>
      <c r="H84">
        <v>2</v>
      </c>
      <c r="I84">
        <v>10000</v>
      </c>
      <c r="J84">
        <v>20000</v>
      </c>
      <c r="K84">
        <f t="shared" si="6"/>
        <v>10000</v>
      </c>
    </row>
    <row r="85" spans="1:11" x14ac:dyDescent="0.3">
      <c r="A85">
        <v>85</v>
      </c>
      <c r="B85" s="1">
        <v>45122</v>
      </c>
      <c r="C85" t="str">
        <f t="shared" si="5"/>
        <v>Jul</v>
      </c>
      <c r="D85" t="s">
        <v>26</v>
      </c>
      <c r="E85" t="s">
        <v>32</v>
      </c>
      <c r="F85" t="s">
        <v>41</v>
      </c>
      <c r="G85" t="s">
        <v>21</v>
      </c>
      <c r="H85">
        <v>3</v>
      </c>
      <c r="I85">
        <v>30000</v>
      </c>
      <c r="J85">
        <v>90000</v>
      </c>
      <c r="K85">
        <f t="shared" si="6"/>
        <v>45000</v>
      </c>
    </row>
    <row r="86" spans="1:11" x14ac:dyDescent="0.3">
      <c r="A86">
        <v>86</v>
      </c>
      <c r="B86" s="1">
        <v>45135</v>
      </c>
      <c r="C86" t="str">
        <f t="shared" si="5"/>
        <v>Jul</v>
      </c>
      <c r="D86" t="s">
        <v>42</v>
      </c>
      <c r="E86" t="s">
        <v>25</v>
      </c>
      <c r="F86" t="s">
        <v>14</v>
      </c>
      <c r="G86" t="s">
        <v>15</v>
      </c>
      <c r="H86">
        <v>3</v>
      </c>
      <c r="I86">
        <v>1000</v>
      </c>
      <c r="J86">
        <v>3000</v>
      </c>
      <c r="K86">
        <f t="shared" si="6"/>
        <v>1500</v>
      </c>
    </row>
    <row r="87" spans="1:11" x14ac:dyDescent="0.3">
      <c r="A87">
        <v>87</v>
      </c>
      <c r="B87" s="1">
        <v>45096</v>
      </c>
      <c r="C87" t="str">
        <f t="shared" si="5"/>
        <v>Jun</v>
      </c>
      <c r="D87" t="s">
        <v>96</v>
      </c>
      <c r="E87" t="s">
        <v>28</v>
      </c>
      <c r="F87" t="s">
        <v>41</v>
      </c>
      <c r="G87" t="s">
        <v>21</v>
      </c>
      <c r="H87">
        <v>5</v>
      </c>
      <c r="I87">
        <v>10000</v>
      </c>
      <c r="J87">
        <v>50000</v>
      </c>
      <c r="K87">
        <f t="shared" si="6"/>
        <v>25000</v>
      </c>
    </row>
    <row r="88" spans="1:11" x14ac:dyDescent="0.3">
      <c r="A88">
        <v>88</v>
      </c>
      <c r="B88" s="1">
        <v>45228</v>
      </c>
      <c r="C88" t="str">
        <f t="shared" si="5"/>
        <v>Oct</v>
      </c>
      <c r="D88" t="s">
        <v>38</v>
      </c>
      <c r="E88" t="s">
        <v>13</v>
      </c>
      <c r="F88" t="s">
        <v>27</v>
      </c>
      <c r="G88" t="s">
        <v>15</v>
      </c>
      <c r="H88">
        <v>3</v>
      </c>
      <c r="I88">
        <v>5000</v>
      </c>
      <c r="J88">
        <v>15000</v>
      </c>
      <c r="K88">
        <f t="shared" si="6"/>
        <v>7500</v>
      </c>
    </row>
    <row r="89" spans="1:11" x14ac:dyDescent="0.3">
      <c r="A89">
        <v>89</v>
      </c>
      <c r="B89" s="1">
        <v>45165</v>
      </c>
      <c r="C89" t="str">
        <f t="shared" si="5"/>
        <v>Aug</v>
      </c>
      <c r="D89" t="s">
        <v>24</v>
      </c>
      <c r="E89" t="s">
        <v>13</v>
      </c>
      <c r="F89" t="s">
        <v>20</v>
      </c>
      <c r="G89" t="s">
        <v>15</v>
      </c>
      <c r="H89">
        <v>5</v>
      </c>
      <c r="I89">
        <v>10000</v>
      </c>
      <c r="J89">
        <v>50000</v>
      </c>
      <c r="K89">
        <f t="shared" si="6"/>
        <v>25000</v>
      </c>
    </row>
    <row r="90" spans="1:11" x14ac:dyDescent="0.3">
      <c r="A90">
        <v>90</v>
      </c>
      <c r="B90" s="1">
        <v>45151</v>
      </c>
      <c r="C90" t="str">
        <f t="shared" si="5"/>
        <v>Aug</v>
      </c>
      <c r="D90" t="s">
        <v>85</v>
      </c>
      <c r="E90" t="s">
        <v>13</v>
      </c>
      <c r="F90" t="s">
        <v>27</v>
      </c>
      <c r="G90" t="s">
        <v>15</v>
      </c>
      <c r="H90">
        <v>3</v>
      </c>
      <c r="I90">
        <v>10000</v>
      </c>
      <c r="J90">
        <v>30000</v>
      </c>
      <c r="K90">
        <f t="shared" si="6"/>
        <v>15000</v>
      </c>
    </row>
    <row r="91" spans="1:11" x14ac:dyDescent="0.3">
      <c r="A91">
        <v>91</v>
      </c>
      <c r="B91" s="1">
        <v>45243</v>
      </c>
      <c r="C91" t="str">
        <f t="shared" si="5"/>
        <v>Nov</v>
      </c>
      <c r="D91" t="s">
        <v>96</v>
      </c>
      <c r="E91" t="s">
        <v>23</v>
      </c>
      <c r="F91" t="s">
        <v>14</v>
      </c>
      <c r="G91" t="s">
        <v>15</v>
      </c>
      <c r="H91">
        <v>1</v>
      </c>
      <c r="I91">
        <v>10000</v>
      </c>
      <c r="J91">
        <v>10000</v>
      </c>
      <c r="K91">
        <f t="shared" si="6"/>
        <v>5000</v>
      </c>
    </row>
    <row r="92" spans="1:11" x14ac:dyDescent="0.3">
      <c r="A92">
        <v>92</v>
      </c>
      <c r="B92" s="1">
        <v>45027</v>
      </c>
      <c r="C92" t="str">
        <f t="shared" si="5"/>
        <v>Apr</v>
      </c>
      <c r="D92" t="s">
        <v>22</v>
      </c>
      <c r="E92" t="s">
        <v>25</v>
      </c>
      <c r="F92" t="s">
        <v>41</v>
      </c>
      <c r="G92" t="s">
        <v>15</v>
      </c>
      <c r="H92">
        <v>2</v>
      </c>
      <c r="I92">
        <v>30000</v>
      </c>
      <c r="J92">
        <v>60000</v>
      </c>
      <c r="K92">
        <f t="shared" si="6"/>
        <v>30000</v>
      </c>
    </row>
    <row r="93" spans="1:11" x14ac:dyDescent="0.3">
      <c r="A93">
        <v>93</v>
      </c>
      <c r="B93" s="1">
        <v>45016</v>
      </c>
      <c r="C93" t="str">
        <f t="shared" si="5"/>
        <v>Mar</v>
      </c>
      <c r="D93" t="s">
        <v>97</v>
      </c>
      <c r="E93" t="s">
        <v>28</v>
      </c>
      <c r="F93" t="s">
        <v>20</v>
      </c>
      <c r="G93" t="s">
        <v>21</v>
      </c>
      <c r="H93">
        <v>3</v>
      </c>
      <c r="I93">
        <v>10000</v>
      </c>
      <c r="J93">
        <v>30000</v>
      </c>
      <c r="K93">
        <f t="shared" si="6"/>
        <v>15000</v>
      </c>
    </row>
    <row r="94" spans="1:11" x14ac:dyDescent="0.3">
      <c r="A94">
        <v>94</v>
      </c>
      <c r="B94" s="1">
        <v>45116</v>
      </c>
      <c r="C94" t="str">
        <f t="shared" si="5"/>
        <v>Jul</v>
      </c>
      <c r="D94" t="s">
        <v>33</v>
      </c>
      <c r="E94" t="s">
        <v>23</v>
      </c>
      <c r="F94" t="s">
        <v>30</v>
      </c>
      <c r="G94" t="s">
        <v>15</v>
      </c>
      <c r="H94">
        <v>3</v>
      </c>
      <c r="I94">
        <v>30000</v>
      </c>
      <c r="J94">
        <v>90000</v>
      </c>
      <c r="K94">
        <f t="shared" si="6"/>
        <v>45000</v>
      </c>
    </row>
    <row r="95" spans="1:11" x14ac:dyDescent="0.3">
      <c r="A95">
        <v>95</v>
      </c>
      <c r="B95" s="1">
        <v>44968</v>
      </c>
      <c r="C95" t="str">
        <f t="shared" si="5"/>
        <v>Feb</v>
      </c>
      <c r="D95" t="s">
        <v>89</v>
      </c>
      <c r="E95" t="s">
        <v>25</v>
      </c>
      <c r="F95" t="s">
        <v>41</v>
      </c>
      <c r="G95" t="s">
        <v>15</v>
      </c>
      <c r="H95">
        <v>5</v>
      </c>
      <c r="I95">
        <v>30000</v>
      </c>
      <c r="J95">
        <v>150000</v>
      </c>
      <c r="K95">
        <f t="shared" si="6"/>
        <v>75000</v>
      </c>
    </row>
    <row r="96" spans="1:11" x14ac:dyDescent="0.3">
      <c r="A96">
        <v>96</v>
      </c>
      <c r="B96" s="1">
        <v>45281</v>
      </c>
      <c r="C96" t="str">
        <f t="shared" si="5"/>
        <v>Dec</v>
      </c>
      <c r="D96" t="s">
        <v>90</v>
      </c>
      <c r="E96" t="s">
        <v>25</v>
      </c>
      <c r="F96" t="s">
        <v>20</v>
      </c>
      <c r="G96" t="s">
        <v>15</v>
      </c>
      <c r="H96">
        <v>3</v>
      </c>
      <c r="I96">
        <v>30000</v>
      </c>
      <c r="J96">
        <v>90000</v>
      </c>
      <c r="K96">
        <f t="shared" si="6"/>
        <v>45000</v>
      </c>
    </row>
    <row r="97" spans="1:11" x14ac:dyDescent="0.3">
      <c r="A97">
        <v>97</v>
      </c>
      <c r="B97" s="1">
        <v>44983</v>
      </c>
      <c r="C97" t="str">
        <f t="shared" si="5"/>
        <v>Feb</v>
      </c>
      <c r="D97" t="s">
        <v>51</v>
      </c>
      <c r="E97" t="s">
        <v>28</v>
      </c>
      <c r="F97" t="s">
        <v>34</v>
      </c>
      <c r="G97" t="s">
        <v>15</v>
      </c>
      <c r="H97">
        <v>5</v>
      </c>
      <c r="I97">
        <v>5000</v>
      </c>
      <c r="J97">
        <v>25000</v>
      </c>
      <c r="K97">
        <f t="shared" si="6"/>
        <v>12500</v>
      </c>
    </row>
    <row r="98" spans="1:11" x14ac:dyDescent="0.3">
      <c r="A98">
        <v>98</v>
      </c>
      <c r="B98" s="1">
        <v>45144</v>
      </c>
      <c r="C98" t="str">
        <f t="shared" si="5"/>
        <v>Aug</v>
      </c>
      <c r="D98" t="s">
        <v>38</v>
      </c>
      <c r="E98" t="s">
        <v>23</v>
      </c>
      <c r="F98" t="s">
        <v>41</v>
      </c>
      <c r="G98" t="s">
        <v>21</v>
      </c>
      <c r="H98">
        <v>3</v>
      </c>
      <c r="I98">
        <v>1000</v>
      </c>
      <c r="J98">
        <v>3000</v>
      </c>
      <c r="K98">
        <f t="shared" si="6"/>
        <v>1500</v>
      </c>
    </row>
    <row r="99" spans="1:11" x14ac:dyDescent="0.3">
      <c r="A99">
        <v>99</v>
      </c>
      <c r="B99" s="1">
        <v>45204</v>
      </c>
      <c r="C99" t="str">
        <f t="shared" si="5"/>
        <v>Oct</v>
      </c>
      <c r="D99" t="s">
        <v>97</v>
      </c>
      <c r="E99" t="s">
        <v>13</v>
      </c>
      <c r="F99" t="s">
        <v>14</v>
      </c>
      <c r="G99" t="s">
        <v>21</v>
      </c>
      <c r="H99">
        <v>2</v>
      </c>
      <c r="I99">
        <v>20000</v>
      </c>
      <c r="J99">
        <v>40000</v>
      </c>
      <c r="K99">
        <f t="shared" si="6"/>
        <v>20000</v>
      </c>
    </row>
    <row r="100" spans="1:11" x14ac:dyDescent="0.3">
      <c r="A100">
        <v>100</v>
      </c>
      <c r="B100" s="1">
        <v>44968</v>
      </c>
      <c r="C100" t="str">
        <f t="shared" si="5"/>
        <v>Feb</v>
      </c>
      <c r="D100" t="s">
        <v>46</v>
      </c>
      <c r="E100" t="s">
        <v>23</v>
      </c>
      <c r="F100" t="s">
        <v>27</v>
      </c>
      <c r="G100" t="s">
        <v>21</v>
      </c>
      <c r="H100">
        <v>3</v>
      </c>
      <c r="I100">
        <v>5000</v>
      </c>
      <c r="J100">
        <v>15000</v>
      </c>
      <c r="K100">
        <f t="shared" si="6"/>
        <v>7500</v>
      </c>
    </row>
    <row r="101" spans="1:11" x14ac:dyDescent="0.3">
      <c r="A101">
        <v>101</v>
      </c>
      <c r="B101" s="1">
        <v>45094</v>
      </c>
      <c r="C101" t="str">
        <f t="shared" si="5"/>
        <v>Jun</v>
      </c>
      <c r="D101" t="s">
        <v>98</v>
      </c>
      <c r="E101" t="s">
        <v>13</v>
      </c>
      <c r="F101" t="s">
        <v>20</v>
      </c>
      <c r="G101" t="s">
        <v>15</v>
      </c>
      <c r="H101">
        <v>1</v>
      </c>
      <c r="I101">
        <v>5000</v>
      </c>
      <c r="J101">
        <v>5000</v>
      </c>
      <c r="K101">
        <f t="shared" si="6"/>
        <v>2500</v>
      </c>
    </row>
    <row r="102" spans="1:11" x14ac:dyDescent="0.3">
      <c r="A102">
        <v>102</v>
      </c>
      <c r="B102" s="1">
        <v>45073</v>
      </c>
      <c r="C102" t="str">
        <f t="shared" si="5"/>
        <v>May</v>
      </c>
      <c r="D102" t="s">
        <v>94</v>
      </c>
      <c r="E102" t="s">
        <v>23</v>
      </c>
      <c r="F102" t="s">
        <v>20</v>
      </c>
      <c r="G102" t="s">
        <v>15</v>
      </c>
      <c r="H102">
        <v>3</v>
      </c>
      <c r="I102">
        <v>5000</v>
      </c>
      <c r="J102">
        <v>15000</v>
      </c>
      <c r="K102">
        <f t="shared" si="6"/>
        <v>7500</v>
      </c>
    </row>
    <row r="103" spans="1:11" x14ac:dyDescent="0.3">
      <c r="A103">
        <v>103</v>
      </c>
      <c r="B103" s="1">
        <v>45072</v>
      </c>
      <c r="C103" t="str">
        <f t="shared" si="5"/>
        <v>May</v>
      </c>
      <c r="D103" t="s">
        <v>39</v>
      </c>
      <c r="E103" t="s">
        <v>13</v>
      </c>
      <c r="F103" t="s">
        <v>34</v>
      </c>
      <c r="G103" t="s">
        <v>15</v>
      </c>
      <c r="H103">
        <v>5</v>
      </c>
      <c r="I103">
        <v>10000</v>
      </c>
      <c r="J103">
        <v>50000</v>
      </c>
      <c r="K103">
        <f t="shared" si="6"/>
        <v>25000</v>
      </c>
    </row>
    <row r="104" spans="1:11" x14ac:dyDescent="0.3">
      <c r="A104">
        <v>104</v>
      </c>
      <c r="B104" s="1">
        <v>45202</v>
      </c>
      <c r="C104" t="str">
        <f t="shared" si="5"/>
        <v>Oct</v>
      </c>
      <c r="D104" t="s">
        <v>22</v>
      </c>
      <c r="E104" t="s">
        <v>23</v>
      </c>
      <c r="F104" t="s">
        <v>41</v>
      </c>
      <c r="G104" t="s">
        <v>15</v>
      </c>
      <c r="H104">
        <v>1</v>
      </c>
      <c r="I104">
        <v>5000</v>
      </c>
      <c r="J104">
        <v>5000</v>
      </c>
      <c r="K104">
        <f t="shared" si="6"/>
        <v>2500</v>
      </c>
    </row>
    <row r="105" spans="1:11" x14ac:dyDescent="0.3">
      <c r="A105">
        <v>105</v>
      </c>
      <c r="B105" s="1">
        <v>45111</v>
      </c>
      <c r="C105" t="str">
        <f t="shared" si="5"/>
        <v>Jul</v>
      </c>
      <c r="D105" t="s">
        <v>78</v>
      </c>
      <c r="E105" t="s">
        <v>25</v>
      </c>
      <c r="F105" t="s">
        <v>27</v>
      </c>
      <c r="G105" t="s">
        <v>15</v>
      </c>
      <c r="H105">
        <v>5</v>
      </c>
      <c r="I105">
        <v>5000</v>
      </c>
      <c r="J105">
        <v>25000</v>
      </c>
      <c r="K105">
        <f t="shared" si="6"/>
        <v>12500</v>
      </c>
    </row>
    <row r="106" spans="1:11" x14ac:dyDescent="0.3">
      <c r="A106">
        <v>106</v>
      </c>
      <c r="B106" s="1">
        <v>44962</v>
      </c>
      <c r="C106" t="str">
        <f t="shared" si="5"/>
        <v>Feb</v>
      </c>
      <c r="D106" t="s">
        <v>73</v>
      </c>
      <c r="E106" t="s">
        <v>23</v>
      </c>
      <c r="F106" t="s">
        <v>14</v>
      </c>
      <c r="G106" t="s">
        <v>21</v>
      </c>
      <c r="H106">
        <v>3</v>
      </c>
      <c r="I106">
        <v>5000</v>
      </c>
      <c r="J106">
        <v>15000</v>
      </c>
      <c r="K106">
        <f t="shared" si="6"/>
        <v>7500</v>
      </c>
    </row>
    <row r="107" spans="1:11" x14ac:dyDescent="0.3">
      <c r="A107">
        <v>107</v>
      </c>
      <c r="B107" s="1">
        <v>45141</v>
      </c>
      <c r="C107" t="str">
        <f t="shared" si="5"/>
        <v>Aug</v>
      </c>
      <c r="D107" t="s">
        <v>12</v>
      </c>
      <c r="E107" t="s">
        <v>28</v>
      </c>
      <c r="F107" t="s">
        <v>41</v>
      </c>
      <c r="G107" t="s">
        <v>15</v>
      </c>
      <c r="H107">
        <v>2</v>
      </c>
      <c r="I107">
        <v>10000</v>
      </c>
      <c r="J107">
        <v>20000</v>
      </c>
      <c r="K107">
        <f t="shared" si="6"/>
        <v>10000</v>
      </c>
    </row>
    <row r="108" spans="1:11" x14ac:dyDescent="0.3">
      <c r="A108">
        <v>108</v>
      </c>
      <c r="B108" s="1">
        <v>45063</v>
      </c>
      <c r="C108" t="str">
        <f t="shared" si="5"/>
        <v>May</v>
      </c>
      <c r="D108" t="s">
        <v>94</v>
      </c>
      <c r="E108" t="s">
        <v>13</v>
      </c>
      <c r="F108" t="s">
        <v>41</v>
      </c>
      <c r="G108" t="s">
        <v>21</v>
      </c>
      <c r="H108">
        <v>3</v>
      </c>
      <c r="I108">
        <v>10000</v>
      </c>
      <c r="J108">
        <v>30000</v>
      </c>
      <c r="K108">
        <f t="shared" si="6"/>
        <v>15000</v>
      </c>
    </row>
    <row r="109" spans="1:11" x14ac:dyDescent="0.3">
      <c r="A109">
        <v>109</v>
      </c>
      <c r="B109" s="1">
        <v>44995</v>
      </c>
      <c r="C109" t="str">
        <f t="shared" si="5"/>
        <v>Mar</v>
      </c>
      <c r="D109" t="s">
        <v>88</v>
      </c>
      <c r="E109" t="s">
        <v>13</v>
      </c>
      <c r="F109" t="s">
        <v>20</v>
      </c>
      <c r="G109" t="s">
        <v>15</v>
      </c>
      <c r="H109">
        <v>3</v>
      </c>
      <c r="I109">
        <v>10000</v>
      </c>
      <c r="J109">
        <v>30000</v>
      </c>
      <c r="K109">
        <f t="shared" si="6"/>
        <v>15000</v>
      </c>
    </row>
    <row r="110" spans="1:11" x14ac:dyDescent="0.3">
      <c r="A110">
        <v>110</v>
      </c>
      <c r="B110" s="1">
        <v>45091</v>
      </c>
      <c r="C110" t="str">
        <f t="shared" si="5"/>
        <v>Jun</v>
      </c>
      <c r="D110" t="s">
        <v>26</v>
      </c>
      <c r="E110" t="s">
        <v>32</v>
      </c>
      <c r="F110" t="s">
        <v>20</v>
      </c>
      <c r="G110" t="s">
        <v>15</v>
      </c>
      <c r="H110">
        <v>3</v>
      </c>
      <c r="I110">
        <v>30000</v>
      </c>
      <c r="J110">
        <v>90000</v>
      </c>
      <c r="K110">
        <f t="shared" si="6"/>
        <v>45000</v>
      </c>
    </row>
    <row r="111" spans="1:11" x14ac:dyDescent="0.3">
      <c r="A111">
        <v>111</v>
      </c>
      <c r="B111" s="1">
        <v>44975</v>
      </c>
      <c r="C111" t="str">
        <f t="shared" si="5"/>
        <v>Feb</v>
      </c>
      <c r="D111" t="s">
        <v>29</v>
      </c>
      <c r="E111" t="s">
        <v>13</v>
      </c>
      <c r="F111" t="s">
        <v>30</v>
      </c>
      <c r="G111" t="s">
        <v>15</v>
      </c>
      <c r="H111">
        <v>3</v>
      </c>
      <c r="I111">
        <v>10000</v>
      </c>
      <c r="J111">
        <v>30000</v>
      </c>
      <c r="K111">
        <f t="shared" si="6"/>
        <v>15000</v>
      </c>
    </row>
    <row r="112" spans="1:11" x14ac:dyDescent="0.3">
      <c r="A112">
        <v>112</v>
      </c>
      <c r="B112" s="1">
        <v>44999</v>
      </c>
      <c r="C112" t="str">
        <f t="shared" si="5"/>
        <v>Mar</v>
      </c>
      <c r="D112" t="s">
        <v>38</v>
      </c>
      <c r="E112" t="s">
        <v>13</v>
      </c>
      <c r="F112" t="s">
        <v>27</v>
      </c>
      <c r="G112" t="s">
        <v>15</v>
      </c>
      <c r="H112">
        <v>4</v>
      </c>
      <c r="I112">
        <v>10000</v>
      </c>
      <c r="J112">
        <v>40000</v>
      </c>
      <c r="K112">
        <f t="shared" si="6"/>
        <v>20000</v>
      </c>
    </row>
    <row r="113" spans="1:11" x14ac:dyDescent="0.3">
      <c r="A113">
        <v>113</v>
      </c>
      <c r="B113" s="1">
        <v>44999</v>
      </c>
      <c r="C113" t="str">
        <f t="shared" si="5"/>
        <v>Mar</v>
      </c>
      <c r="D113" t="s">
        <v>22</v>
      </c>
      <c r="E113" t="s">
        <v>13</v>
      </c>
      <c r="F113" t="s">
        <v>20</v>
      </c>
      <c r="G113" t="s">
        <v>15</v>
      </c>
      <c r="H113">
        <v>5</v>
      </c>
      <c r="I113">
        <v>30000</v>
      </c>
      <c r="J113">
        <v>150000</v>
      </c>
      <c r="K113">
        <f t="shared" si="6"/>
        <v>75000</v>
      </c>
    </row>
    <row r="114" spans="1:11" x14ac:dyDescent="0.3">
      <c r="A114">
        <v>114</v>
      </c>
      <c r="B114" s="1">
        <v>44981</v>
      </c>
      <c r="C114" t="str">
        <f t="shared" si="5"/>
        <v>Feb</v>
      </c>
      <c r="D114" t="s">
        <v>87</v>
      </c>
      <c r="E114" t="s">
        <v>13</v>
      </c>
      <c r="F114" t="s">
        <v>20</v>
      </c>
      <c r="G114" t="s">
        <v>21</v>
      </c>
      <c r="H114">
        <v>4</v>
      </c>
      <c r="I114">
        <v>5000</v>
      </c>
      <c r="J114">
        <v>20000</v>
      </c>
      <c r="K114">
        <f t="shared" si="6"/>
        <v>10000</v>
      </c>
    </row>
    <row r="115" spans="1:11" x14ac:dyDescent="0.3">
      <c r="A115">
        <v>115</v>
      </c>
      <c r="B115" s="1">
        <v>45091</v>
      </c>
      <c r="C115" t="str">
        <f t="shared" si="5"/>
        <v>Jun</v>
      </c>
      <c r="D115" t="s">
        <v>43</v>
      </c>
      <c r="E115" t="s">
        <v>13</v>
      </c>
      <c r="F115" t="s">
        <v>20</v>
      </c>
      <c r="G115" t="s">
        <v>15</v>
      </c>
      <c r="H115">
        <v>5</v>
      </c>
      <c r="I115">
        <v>10000</v>
      </c>
      <c r="J115">
        <v>50000</v>
      </c>
      <c r="K115">
        <f t="shared" si="6"/>
        <v>25000</v>
      </c>
    </row>
    <row r="116" spans="1:11" x14ac:dyDescent="0.3">
      <c r="A116">
        <v>116</v>
      </c>
      <c r="B116" s="1">
        <v>44946</v>
      </c>
      <c r="C116" t="str">
        <f t="shared" si="5"/>
        <v>Jan</v>
      </c>
      <c r="D116" t="s">
        <v>84</v>
      </c>
      <c r="E116" t="s">
        <v>25</v>
      </c>
      <c r="F116" t="s">
        <v>27</v>
      </c>
      <c r="G116" t="s">
        <v>15</v>
      </c>
      <c r="H116">
        <v>3</v>
      </c>
      <c r="I116">
        <v>20000</v>
      </c>
      <c r="J116">
        <v>60000</v>
      </c>
      <c r="K116">
        <f t="shared" si="6"/>
        <v>30000</v>
      </c>
    </row>
    <row r="117" spans="1:11" x14ac:dyDescent="0.3">
      <c r="A117">
        <v>117</v>
      </c>
      <c r="B117" s="1">
        <v>45262</v>
      </c>
      <c r="C117" t="str">
        <f t="shared" si="5"/>
        <v>Dec</v>
      </c>
      <c r="D117" t="s">
        <v>38</v>
      </c>
      <c r="E117" t="s">
        <v>13</v>
      </c>
      <c r="F117" t="s">
        <v>41</v>
      </c>
      <c r="G117" t="s">
        <v>15</v>
      </c>
      <c r="H117">
        <v>2</v>
      </c>
      <c r="I117">
        <v>5000</v>
      </c>
      <c r="J117">
        <v>10000</v>
      </c>
      <c r="K117">
        <f t="shared" si="6"/>
        <v>5000</v>
      </c>
    </row>
    <row r="118" spans="1:11" x14ac:dyDescent="0.3">
      <c r="A118">
        <v>118</v>
      </c>
      <c r="B118" s="1">
        <v>45248</v>
      </c>
      <c r="C118" t="str">
        <f t="shared" si="5"/>
        <v>Nov</v>
      </c>
      <c r="D118" t="s">
        <v>99</v>
      </c>
      <c r="E118" t="s">
        <v>32</v>
      </c>
      <c r="F118" t="s">
        <v>41</v>
      </c>
      <c r="G118" t="s">
        <v>15</v>
      </c>
      <c r="H118">
        <v>5</v>
      </c>
      <c r="I118">
        <v>20000</v>
      </c>
      <c r="J118">
        <v>100000</v>
      </c>
      <c r="K118">
        <f t="shared" si="6"/>
        <v>50000</v>
      </c>
    </row>
    <row r="119" spans="1:11" x14ac:dyDescent="0.3">
      <c r="A119">
        <v>119</v>
      </c>
      <c r="B119" s="1">
        <v>44981</v>
      </c>
      <c r="C119" t="str">
        <f t="shared" si="5"/>
        <v>Feb</v>
      </c>
      <c r="D119" t="s">
        <v>81</v>
      </c>
      <c r="E119" t="s">
        <v>13</v>
      </c>
      <c r="F119" t="s">
        <v>27</v>
      </c>
      <c r="G119" t="s">
        <v>15</v>
      </c>
      <c r="H119">
        <v>3</v>
      </c>
      <c r="I119">
        <v>30000</v>
      </c>
      <c r="J119">
        <v>90000</v>
      </c>
      <c r="K119">
        <f t="shared" si="6"/>
        <v>45000</v>
      </c>
    </row>
    <row r="120" spans="1:11" x14ac:dyDescent="0.3">
      <c r="A120">
        <v>120</v>
      </c>
      <c r="B120" s="1">
        <v>45124</v>
      </c>
      <c r="C120" t="str">
        <f t="shared" si="5"/>
        <v>Jul</v>
      </c>
      <c r="D120" t="s">
        <v>78</v>
      </c>
      <c r="E120" t="s">
        <v>32</v>
      </c>
      <c r="F120" t="s">
        <v>14</v>
      </c>
      <c r="G120" t="s">
        <v>15</v>
      </c>
      <c r="H120">
        <v>2</v>
      </c>
      <c r="I120">
        <v>30000</v>
      </c>
      <c r="J120">
        <v>60000</v>
      </c>
      <c r="K120">
        <f t="shared" si="6"/>
        <v>30000</v>
      </c>
    </row>
    <row r="121" spans="1:11" x14ac:dyDescent="0.3">
      <c r="A121">
        <v>121</v>
      </c>
      <c r="B121" s="1">
        <v>45069</v>
      </c>
      <c r="C121" t="str">
        <f t="shared" si="5"/>
        <v>May</v>
      </c>
      <c r="D121" t="s">
        <v>95</v>
      </c>
      <c r="E121" t="s">
        <v>23</v>
      </c>
      <c r="F121" t="s">
        <v>30</v>
      </c>
      <c r="G121" t="s">
        <v>15</v>
      </c>
      <c r="H121">
        <v>3</v>
      </c>
      <c r="I121">
        <v>20000</v>
      </c>
      <c r="J121">
        <v>60000</v>
      </c>
      <c r="K121">
        <f t="shared" si="6"/>
        <v>30000</v>
      </c>
    </row>
    <row r="122" spans="1:11" x14ac:dyDescent="0.3">
      <c r="A122">
        <v>122</v>
      </c>
      <c r="B122" s="1">
        <v>45073</v>
      </c>
      <c r="C122" t="str">
        <f t="shared" si="5"/>
        <v>May</v>
      </c>
      <c r="D122" t="s">
        <v>85</v>
      </c>
      <c r="E122" t="s">
        <v>13</v>
      </c>
      <c r="F122" t="s">
        <v>20</v>
      </c>
      <c r="G122" t="s">
        <v>15</v>
      </c>
      <c r="H122">
        <v>2</v>
      </c>
      <c r="I122">
        <v>1000</v>
      </c>
      <c r="J122">
        <v>2000</v>
      </c>
      <c r="K122">
        <f t="shared" si="6"/>
        <v>1000</v>
      </c>
    </row>
    <row r="123" spans="1:11" x14ac:dyDescent="0.3">
      <c r="A123">
        <v>123</v>
      </c>
      <c r="B123" s="1">
        <v>45082</v>
      </c>
      <c r="C123" t="str">
        <f t="shared" si="5"/>
        <v>Jun</v>
      </c>
      <c r="D123" t="s">
        <v>88</v>
      </c>
      <c r="E123" t="s">
        <v>32</v>
      </c>
      <c r="F123" t="s">
        <v>27</v>
      </c>
      <c r="G123" t="s">
        <v>15</v>
      </c>
      <c r="H123">
        <v>3</v>
      </c>
      <c r="I123">
        <v>20000</v>
      </c>
      <c r="J123">
        <v>60000</v>
      </c>
      <c r="K123">
        <f t="shared" si="6"/>
        <v>30000</v>
      </c>
    </row>
    <row r="124" spans="1:11" x14ac:dyDescent="0.3">
      <c r="A124">
        <v>124</v>
      </c>
      <c r="B124" s="1">
        <v>45117</v>
      </c>
      <c r="C124" t="str">
        <f t="shared" si="5"/>
        <v>Jul</v>
      </c>
      <c r="D124" t="s">
        <v>66</v>
      </c>
      <c r="E124" t="s">
        <v>13</v>
      </c>
      <c r="F124" t="s">
        <v>20</v>
      </c>
      <c r="G124" t="s">
        <v>15</v>
      </c>
      <c r="H124">
        <v>3</v>
      </c>
      <c r="I124">
        <v>1000</v>
      </c>
      <c r="J124">
        <v>3000</v>
      </c>
      <c r="K124">
        <f t="shared" si="6"/>
        <v>1500</v>
      </c>
    </row>
    <row r="125" spans="1:11" x14ac:dyDescent="0.3">
      <c r="A125">
        <v>125</v>
      </c>
      <c r="B125" s="1">
        <v>45117</v>
      </c>
      <c r="C125" t="str">
        <f t="shared" si="5"/>
        <v>Jul</v>
      </c>
      <c r="D125" t="s">
        <v>38</v>
      </c>
      <c r="E125" t="s">
        <v>13</v>
      </c>
      <c r="F125" t="s">
        <v>14</v>
      </c>
      <c r="G125" t="s">
        <v>15</v>
      </c>
      <c r="H125">
        <v>5</v>
      </c>
      <c r="I125">
        <v>5000</v>
      </c>
      <c r="J125">
        <v>25000</v>
      </c>
      <c r="K125">
        <f t="shared" si="6"/>
        <v>12500</v>
      </c>
    </row>
    <row r="126" spans="1:11" x14ac:dyDescent="0.3">
      <c r="A126">
        <v>126</v>
      </c>
      <c r="B126" s="1">
        <v>45099</v>
      </c>
      <c r="C126" t="str">
        <f t="shared" si="5"/>
        <v>Jun</v>
      </c>
      <c r="D126" t="s">
        <v>66</v>
      </c>
      <c r="E126" t="s">
        <v>13</v>
      </c>
      <c r="F126" t="s">
        <v>14</v>
      </c>
      <c r="G126" t="s">
        <v>15</v>
      </c>
      <c r="H126">
        <v>2</v>
      </c>
      <c r="I126">
        <v>10000</v>
      </c>
      <c r="J126">
        <v>20000</v>
      </c>
      <c r="K126">
        <f t="shared" si="6"/>
        <v>10000</v>
      </c>
    </row>
    <row r="127" spans="1:11" x14ac:dyDescent="0.3">
      <c r="A127">
        <v>127</v>
      </c>
      <c r="B127" s="1">
        <v>45133</v>
      </c>
      <c r="C127" t="str">
        <f t="shared" si="5"/>
        <v>Jul</v>
      </c>
      <c r="D127" t="s">
        <v>96</v>
      </c>
      <c r="E127" t="s">
        <v>28</v>
      </c>
      <c r="F127" t="s">
        <v>27</v>
      </c>
      <c r="G127" t="s">
        <v>15</v>
      </c>
      <c r="H127">
        <v>2</v>
      </c>
      <c r="I127">
        <v>5000</v>
      </c>
      <c r="J127">
        <v>10000</v>
      </c>
      <c r="K127">
        <f t="shared" si="6"/>
        <v>5000</v>
      </c>
    </row>
    <row r="128" spans="1:11" x14ac:dyDescent="0.3">
      <c r="A128">
        <v>128</v>
      </c>
      <c r="B128" s="1">
        <v>44987</v>
      </c>
      <c r="C128" t="str">
        <f t="shared" si="5"/>
        <v>Mar</v>
      </c>
      <c r="D128" t="s">
        <v>82</v>
      </c>
      <c r="E128" t="s">
        <v>13</v>
      </c>
      <c r="F128" t="s">
        <v>20</v>
      </c>
      <c r="G128" t="s">
        <v>15</v>
      </c>
      <c r="H128">
        <v>4</v>
      </c>
      <c r="I128">
        <v>20000</v>
      </c>
      <c r="J128">
        <v>80000</v>
      </c>
      <c r="K128">
        <f t="shared" si="6"/>
        <v>40000</v>
      </c>
    </row>
    <row r="129" spans="1:11" x14ac:dyDescent="0.3">
      <c r="A129">
        <v>129</v>
      </c>
      <c r="B129" s="1">
        <v>44954</v>
      </c>
      <c r="C129" t="str">
        <f t="shared" si="5"/>
        <v>Jan</v>
      </c>
      <c r="D129" t="s">
        <v>42</v>
      </c>
      <c r="E129" t="s">
        <v>23</v>
      </c>
      <c r="F129" t="s">
        <v>34</v>
      </c>
      <c r="G129" t="s">
        <v>15</v>
      </c>
      <c r="H129">
        <v>2</v>
      </c>
      <c r="I129">
        <v>10000</v>
      </c>
      <c r="J129">
        <v>20000</v>
      </c>
      <c r="K129">
        <f t="shared" si="6"/>
        <v>10000</v>
      </c>
    </row>
    <row r="130" spans="1:11" x14ac:dyDescent="0.3">
      <c r="A130">
        <v>130</v>
      </c>
      <c r="B130" s="1">
        <v>45096</v>
      </c>
      <c r="C130" t="str">
        <f t="shared" si="5"/>
        <v>Jun</v>
      </c>
      <c r="D130" t="s">
        <v>43</v>
      </c>
      <c r="E130" t="s">
        <v>13</v>
      </c>
      <c r="F130" t="s">
        <v>41</v>
      </c>
      <c r="G130" t="s">
        <v>15</v>
      </c>
      <c r="H130">
        <v>2</v>
      </c>
      <c r="I130">
        <v>10000</v>
      </c>
      <c r="J130">
        <v>20000</v>
      </c>
      <c r="K130">
        <f t="shared" si="6"/>
        <v>10000</v>
      </c>
    </row>
    <row r="131" spans="1:11" x14ac:dyDescent="0.3">
      <c r="A131">
        <v>131</v>
      </c>
      <c r="B131" s="1">
        <v>45190</v>
      </c>
      <c r="C131" t="str">
        <f t="shared" ref="C131:C194" si="7">TEXT(B131,"mmm")</f>
        <v>Sep</v>
      </c>
      <c r="D131" t="s">
        <v>83</v>
      </c>
      <c r="E131" t="s">
        <v>25</v>
      </c>
      <c r="F131" t="s">
        <v>20</v>
      </c>
      <c r="G131" t="s">
        <v>15</v>
      </c>
      <c r="H131">
        <v>5</v>
      </c>
      <c r="I131">
        <v>10000</v>
      </c>
      <c r="J131">
        <v>50000</v>
      </c>
      <c r="K131">
        <f t="shared" ref="K131:K194" si="8">AVERAGE(J131,,E131)</f>
        <v>25000</v>
      </c>
    </row>
    <row r="132" spans="1:11" x14ac:dyDescent="0.3">
      <c r="A132">
        <v>132</v>
      </c>
      <c r="B132" s="1">
        <v>45190</v>
      </c>
      <c r="C132" t="str">
        <f t="shared" si="7"/>
        <v>Sep</v>
      </c>
      <c r="D132" t="s">
        <v>90</v>
      </c>
      <c r="E132" t="s">
        <v>13</v>
      </c>
      <c r="F132" t="s">
        <v>20</v>
      </c>
      <c r="G132" t="s">
        <v>21</v>
      </c>
      <c r="H132">
        <v>1</v>
      </c>
      <c r="I132">
        <v>30000</v>
      </c>
      <c r="J132">
        <v>30000</v>
      </c>
      <c r="K132">
        <f t="shared" si="8"/>
        <v>15000</v>
      </c>
    </row>
    <row r="133" spans="1:11" x14ac:dyDescent="0.3">
      <c r="A133">
        <v>133</v>
      </c>
      <c r="B133" s="1">
        <v>45124</v>
      </c>
      <c r="C133" t="str">
        <f t="shared" si="7"/>
        <v>Jul</v>
      </c>
      <c r="D133" t="s">
        <v>33</v>
      </c>
      <c r="E133" t="s">
        <v>13</v>
      </c>
      <c r="F133" t="s">
        <v>20</v>
      </c>
      <c r="G133" t="s">
        <v>15</v>
      </c>
      <c r="H133">
        <v>3</v>
      </c>
      <c r="I133">
        <v>10000</v>
      </c>
      <c r="J133">
        <v>30000</v>
      </c>
      <c r="K133">
        <f t="shared" si="8"/>
        <v>15000</v>
      </c>
    </row>
    <row r="134" spans="1:11" x14ac:dyDescent="0.3">
      <c r="A134">
        <v>134</v>
      </c>
      <c r="B134" s="1">
        <v>45124</v>
      </c>
      <c r="C134" t="str">
        <f t="shared" si="7"/>
        <v>Jul</v>
      </c>
      <c r="D134" t="s">
        <v>56</v>
      </c>
      <c r="E134" t="s">
        <v>13</v>
      </c>
      <c r="F134" t="s">
        <v>14</v>
      </c>
      <c r="G134" t="s">
        <v>15</v>
      </c>
      <c r="H134">
        <v>3</v>
      </c>
      <c r="I134">
        <v>1000</v>
      </c>
      <c r="J134">
        <v>3000</v>
      </c>
      <c r="K134">
        <f t="shared" si="8"/>
        <v>1500</v>
      </c>
    </row>
    <row r="135" spans="1:11" x14ac:dyDescent="0.3">
      <c r="A135">
        <v>135</v>
      </c>
      <c r="B135" s="1">
        <v>45069</v>
      </c>
      <c r="C135" t="str">
        <f t="shared" si="7"/>
        <v>May</v>
      </c>
      <c r="D135" t="s">
        <v>52</v>
      </c>
      <c r="E135" t="s">
        <v>23</v>
      </c>
      <c r="F135" t="s">
        <v>41</v>
      </c>
      <c r="G135" t="s">
        <v>15</v>
      </c>
      <c r="H135">
        <v>3</v>
      </c>
      <c r="I135">
        <v>1000</v>
      </c>
      <c r="J135">
        <v>3000</v>
      </c>
      <c r="K135">
        <f t="shared" si="8"/>
        <v>1500</v>
      </c>
    </row>
    <row r="136" spans="1:11" x14ac:dyDescent="0.3">
      <c r="A136">
        <v>136</v>
      </c>
      <c r="B136" s="1">
        <v>45069</v>
      </c>
      <c r="C136" t="str">
        <f t="shared" si="7"/>
        <v>May</v>
      </c>
      <c r="D136" t="s">
        <v>38</v>
      </c>
      <c r="E136" t="s">
        <v>32</v>
      </c>
      <c r="F136" t="s">
        <v>20</v>
      </c>
      <c r="G136" t="s">
        <v>21</v>
      </c>
      <c r="H136">
        <v>5</v>
      </c>
      <c r="I136">
        <v>30000</v>
      </c>
      <c r="J136">
        <v>150000</v>
      </c>
      <c r="K136">
        <f t="shared" si="8"/>
        <v>75000</v>
      </c>
    </row>
    <row r="137" spans="1:11" x14ac:dyDescent="0.3">
      <c r="A137">
        <v>137</v>
      </c>
      <c r="B137" s="1">
        <v>45051</v>
      </c>
      <c r="C137" t="str">
        <f t="shared" si="7"/>
        <v>May</v>
      </c>
      <c r="D137" t="s">
        <v>98</v>
      </c>
      <c r="E137" t="s">
        <v>13</v>
      </c>
      <c r="F137" t="s">
        <v>27</v>
      </c>
      <c r="G137" t="s">
        <v>15</v>
      </c>
      <c r="H137">
        <v>3</v>
      </c>
      <c r="I137">
        <v>10000</v>
      </c>
      <c r="J137">
        <v>30000</v>
      </c>
      <c r="K137">
        <f t="shared" si="8"/>
        <v>15000</v>
      </c>
    </row>
    <row r="138" spans="1:11" x14ac:dyDescent="0.3">
      <c r="A138">
        <v>138</v>
      </c>
      <c r="B138" s="1">
        <v>45051</v>
      </c>
      <c r="C138" t="str">
        <f t="shared" si="7"/>
        <v>May</v>
      </c>
      <c r="D138" t="s">
        <v>40</v>
      </c>
      <c r="E138" t="s">
        <v>25</v>
      </c>
      <c r="F138" t="s">
        <v>14</v>
      </c>
      <c r="G138" t="s">
        <v>15</v>
      </c>
      <c r="H138">
        <v>3</v>
      </c>
      <c r="I138">
        <v>1000</v>
      </c>
      <c r="J138">
        <v>3000</v>
      </c>
      <c r="K138">
        <f t="shared" si="8"/>
        <v>1500</v>
      </c>
    </row>
    <row r="139" spans="1:11" x14ac:dyDescent="0.3">
      <c r="A139">
        <v>139</v>
      </c>
      <c r="B139" s="1">
        <v>45018</v>
      </c>
      <c r="C139" t="str">
        <f t="shared" si="7"/>
        <v>Apr</v>
      </c>
      <c r="D139" t="s">
        <v>91</v>
      </c>
      <c r="E139" t="s">
        <v>25</v>
      </c>
      <c r="F139" t="s">
        <v>14</v>
      </c>
      <c r="G139" t="s">
        <v>15</v>
      </c>
      <c r="H139">
        <v>4</v>
      </c>
      <c r="I139">
        <v>20000</v>
      </c>
      <c r="J139">
        <v>80000</v>
      </c>
      <c r="K139">
        <f t="shared" si="8"/>
        <v>40000</v>
      </c>
    </row>
    <row r="140" spans="1:11" x14ac:dyDescent="0.3">
      <c r="A140">
        <v>140</v>
      </c>
      <c r="B140" s="1">
        <v>45073</v>
      </c>
      <c r="C140" t="str">
        <f t="shared" si="7"/>
        <v>May</v>
      </c>
      <c r="D140" t="s">
        <v>51</v>
      </c>
      <c r="E140" t="s">
        <v>32</v>
      </c>
      <c r="F140" t="s">
        <v>14</v>
      </c>
      <c r="G140" t="s">
        <v>15</v>
      </c>
      <c r="H140">
        <v>2</v>
      </c>
      <c r="I140">
        <v>5000</v>
      </c>
      <c r="J140">
        <v>10000</v>
      </c>
      <c r="K140">
        <f t="shared" si="8"/>
        <v>5000</v>
      </c>
    </row>
    <row r="141" spans="1:11" x14ac:dyDescent="0.3">
      <c r="A141">
        <v>141</v>
      </c>
      <c r="B141" s="1">
        <v>45292</v>
      </c>
      <c r="C141" t="str">
        <f t="shared" si="7"/>
        <v>Jan</v>
      </c>
      <c r="D141" t="s">
        <v>89</v>
      </c>
      <c r="E141" t="s">
        <v>25</v>
      </c>
      <c r="F141" t="s">
        <v>41</v>
      </c>
      <c r="G141" t="s">
        <v>15</v>
      </c>
      <c r="H141">
        <v>2</v>
      </c>
      <c r="I141">
        <v>10000</v>
      </c>
      <c r="J141">
        <v>20000</v>
      </c>
      <c r="K141">
        <f t="shared" si="8"/>
        <v>10000</v>
      </c>
    </row>
    <row r="142" spans="1:11" x14ac:dyDescent="0.3">
      <c r="A142">
        <v>142</v>
      </c>
      <c r="B142" s="1">
        <v>45013</v>
      </c>
      <c r="C142" t="str">
        <f t="shared" si="7"/>
        <v>Mar</v>
      </c>
      <c r="D142" t="s">
        <v>89</v>
      </c>
      <c r="E142" t="s">
        <v>13</v>
      </c>
      <c r="F142" t="s">
        <v>20</v>
      </c>
      <c r="G142" t="s">
        <v>15</v>
      </c>
      <c r="H142">
        <v>1</v>
      </c>
      <c r="I142">
        <v>10000</v>
      </c>
      <c r="J142">
        <v>10000</v>
      </c>
      <c r="K142">
        <f t="shared" si="8"/>
        <v>5000</v>
      </c>
    </row>
    <row r="143" spans="1:11" x14ac:dyDescent="0.3">
      <c r="A143">
        <v>143</v>
      </c>
      <c r="B143" s="1">
        <v>45193</v>
      </c>
      <c r="C143" t="str">
        <f t="shared" si="7"/>
        <v>Sep</v>
      </c>
      <c r="D143" t="s">
        <v>99</v>
      </c>
      <c r="E143" t="s">
        <v>13</v>
      </c>
      <c r="F143" t="s">
        <v>20</v>
      </c>
      <c r="G143" t="s">
        <v>15</v>
      </c>
      <c r="H143">
        <v>3</v>
      </c>
      <c r="I143">
        <v>10000</v>
      </c>
      <c r="J143">
        <v>30000</v>
      </c>
      <c r="K143">
        <f t="shared" si="8"/>
        <v>15000</v>
      </c>
    </row>
    <row r="144" spans="1:11" x14ac:dyDescent="0.3">
      <c r="A144">
        <v>144</v>
      </c>
      <c r="B144" s="1">
        <v>45267</v>
      </c>
      <c r="C144" t="str">
        <f t="shared" si="7"/>
        <v>Dec</v>
      </c>
      <c r="D144" t="s">
        <v>89</v>
      </c>
      <c r="E144" t="s">
        <v>13</v>
      </c>
      <c r="F144" t="s">
        <v>30</v>
      </c>
      <c r="G144" t="s">
        <v>15</v>
      </c>
      <c r="H144">
        <v>1</v>
      </c>
      <c r="I144">
        <v>10000</v>
      </c>
      <c r="J144">
        <v>10000</v>
      </c>
      <c r="K144">
        <f t="shared" si="8"/>
        <v>5000</v>
      </c>
    </row>
    <row r="145" spans="1:11" x14ac:dyDescent="0.3">
      <c r="A145">
        <v>145</v>
      </c>
      <c r="B145" s="1">
        <v>45267</v>
      </c>
      <c r="C145" t="str">
        <f t="shared" si="7"/>
        <v>Dec</v>
      </c>
      <c r="D145" t="s">
        <v>83</v>
      </c>
      <c r="E145" t="s">
        <v>28</v>
      </c>
      <c r="F145" t="s">
        <v>30</v>
      </c>
      <c r="G145" t="s">
        <v>15</v>
      </c>
      <c r="H145">
        <v>4</v>
      </c>
      <c r="I145">
        <v>10000</v>
      </c>
      <c r="J145">
        <v>40000</v>
      </c>
      <c r="K145">
        <f t="shared" si="8"/>
        <v>20000</v>
      </c>
    </row>
    <row r="146" spans="1:11" x14ac:dyDescent="0.3">
      <c r="A146">
        <v>146</v>
      </c>
      <c r="B146" s="1">
        <v>44952</v>
      </c>
      <c r="C146" t="str">
        <f t="shared" si="7"/>
        <v>Jan</v>
      </c>
      <c r="D146" t="s">
        <v>93</v>
      </c>
      <c r="E146" t="s">
        <v>32</v>
      </c>
      <c r="F146" t="s">
        <v>34</v>
      </c>
      <c r="G146" t="s">
        <v>21</v>
      </c>
      <c r="H146">
        <v>3</v>
      </c>
      <c r="I146">
        <v>30000</v>
      </c>
      <c r="J146">
        <v>90000</v>
      </c>
      <c r="K146">
        <f t="shared" si="8"/>
        <v>45000</v>
      </c>
    </row>
    <row r="147" spans="1:11" x14ac:dyDescent="0.3">
      <c r="A147">
        <v>147</v>
      </c>
      <c r="B147" s="1">
        <v>45265</v>
      </c>
      <c r="C147" t="str">
        <f t="shared" si="7"/>
        <v>Dec</v>
      </c>
      <c r="D147" t="s">
        <v>40</v>
      </c>
      <c r="E147" t="s">
        <v>13</v>
      </c>
      <c r="F147" t="s">
        <v>41</v>
      </c>
      <c r="G147" t="s">
        <v>15</v>
      </c>
      <c r="H147">
        <v>1</v>
      </c>
      <c r="I147">
        <v>20000</v>
      </c>
      <c r="J147">
        <v>20000</v>
      </c>
      <c r="K147">
        <f t="shared" si="8"/>
        <v>10000</v>
      </c>
    </row>
    <row r="148" spans="1:11" x14ac:dyDescent="0.3">
      <c r="A148">
        <v>148</v>
      </c>
      <c r="B148" s="1">
        <v>45045</v>
      </c>
      <c r="C148" t="str">
        <f t="shared" si="7"/>
        <v>Apr</v>
      </c>
      <c r="D148" t="s">
        <v>68</v>
      </c>
      <c r="E148" t="s">
        <v>13</v>
      </c>
      <c r="F148" t="s">
        <v>27</v>
      </c>
      <c r="G148" t="s">
        <v>15</v>
      </c>
      <c r="H148">
        <v>3</v>
      </c>
      <c r="I148">
        <v>30000</v>
      </c>
      <c r="J148">
        <v>90000</v>
      </c>
      <c r="K148">
        <f t="shared" si="8"/>
        <v>45000</v>
      </c>
    </row>
    <row r="149" spans="1:11" x14ac:dyDescent="0.3">
      <c r="A149">
        <v>149</v>
      </c>
      <c r="B149" s="1">
        <v>44975</v>
      </c>
      <c r="C149" t="str">
        <f t="shared" si="7"/>
        <v>Feb</v>
      </c>
      <c r="D149" t="s">
        <v>38</v>
      </c>
      <c r="E149" t="s">
        <v>23</v>
      </c>
      <c r="F149" t="s">
        <v>41</v>
      </c>
      <c r="G149" t="s">
        <v>15</v>
      </c>
      <c r="H149">
        <v>2</v>
      </c>
      <c r="I149">
        <v>30000</v>
      </c>
      <c r="J149">
        <v>60000</v>
      </c>
      <c r="K149">
        <f t="shared" si="8"/>
        <v>30000</v>
      </c>
    </row>
    <row r="150" spans="1:11" x14ac:dyDescent="0.3">
      <c r="A150">
        <v>150</v>
      </c>
      <c r="B150" s="1">
        <v>44954</v>
      </c>
      <c r="C150" t="str">
        <f t="shared" si="7"/>
        <v>Jan</v>
      </c>
      <c r="D150" t="s">
        <v>73</v>
      </c>
      <c r="E150" t="s">
        <v>23</v>
      </c>
      <c r="F150" t="s">
        <v>27</v>
      </c>
      <c r="G150" t="s">
        <v>15</v>
      </c>
      <c r="H150">
        <v>1</v>
      </c>
      <c r="I150">
        <v>30000</v>
      </c>
      <c r="J150">
        <v>30000</v>
      </c>
      <c r="K150">
        <f t="shared" si="8"/>
        <v>15000</v>
      </c>
    </row>
    <row r="151" spans="1:11" x14ac:dyDescent="0.3">
      <c r="A151">
        <v>151</v>
      </c>
      <c r="B151" s="1">
        <v>44960</v>
      </c>
      <c r="C151" t="str">
        <f t="shared" si="7"/>
        <v>Feb</v>
      </c>
      <c r="D151" t="s">
        <v>38</v>
      </c>
      <c r="E151" t="s">
        <v>13</v>
      </c>
      <c r="F151" t="s">
        <v>20</v>
      </c>
      <c r="G151" t="s">
        <v>15</v>
      </c>
      <c r="H151">
        <v>2</v>
      </c>
      <c r="I151">
        <v>10000</v>
      </c>
      <c r="J151">
        <v>20000</v>
      </c>
      <c r="K151">
        <f t="shared" si="8"/>
        <v>10000</v>
      </c>
    </row>
    <row r="152" spans="1:11" x14ac:dyDescent="0.3">
      <c r="A152">
        <v>152</v>
      </c>
      <c r="B152" s="1">
        <v>45049</v>
      </c>
      <c r="C152" t="str">
        <f t="shared" si="7"/>
        <v>May</v>
      </c>
      <c r="D152" t="s">
        <v>72</v>
      </c>
      <c r="E152" t="s">
        <v>23</v>
      </c>
      <c r="F152" t="s">
        <v>41</v>
      </c>
      <c r="G152" t="s">
        <v>21</v>
      </c>
      <c r="H152">
        <v>4</v>
      </c>
      <c r="I152">
        <v>5000</v>
      </c>
      <c r="J152">
        <v>20000</v>
      </c>
      <c r="K152">
        <f t="shared" si="8"/>
        <v>10000</v>
      </c>
    </row>
    <row r="153" spans="1:11" x14ac:dyDescent="0.3">
      <c r="A153">
        <v>153</v>
      </c>
      <c r="B153" s="1">
        <v>45049</v>
      </c>
      <c r="C153" t="str">
        <f t="shared" si="7"/>
        <v>May</v>
      </c>
      <c r="D153" t="s">
        <v>89</v>
      </c>
      <c r="E153" t="s">
        <v>13</v>
      </c>
      <c r="F153" t="s">
        <v>30</v>
      </c>
      <c r="G153" t="s">
        <v>15</v>
      </c>
      <c r="H153">
        <v>3</v>
      </c>
      <c r="I153">
        <v>5000</v>
      </c>
      <c r="J153">
        <v>15000</v>
      </c>
      <c r="K153">
        <f t="shared" si="8"/>
        <v>7500</v>
      </c>
    </row>
    <row r="154" spans="1:11" x14ac:dyDescent="0.3">
      <c r="A154">
        <v>154</v>
      </c>
      <c r="B154" s="1">
        <v>45071</v>
      </c>
      <c r="C154" t="str">
        <f t="shared" si="7"/>
        <v>May</v>
      </c>
      <c r="D154" t="s">
        <v>38</v>
      </c>
      <c r="E154" t="s">
        <v>13</v>
      </c>
      <c r="F154" t="s">
        <v>20</v>
      </c>
      <c r="G154" t="s">
        <v>21</v>
      </c>
      <c r="H154">
        <v>2</v>
      </c>
      <c r="I154">
        <v>1000</v>
      </c>
      <c r="J154">
        <v>2000</v>
      </c>
      <c r="K154">
        <f t="shared" si="8"/>
        <v>1000</v>
      </c>
    </row>
    <row r="155" spans="1:11" x14ac:dyDescent="0.3">
      <c r="A155">
        <v>155</v>
      </c>
      <c r="B155" s="1">
        <v>45227</v>
      </c>
      <c r="C155" t="str">
        <f t="shared" si="7"/>
        <v>Oct</v>
      </c>
      <c r="D155" t="s">
        <v>19</v>
      </c>
      <c r="E155" t="s">
        <v>32</v>
      </c>
      <c r="F155" t="s">
        <v>30</v>
      </c>
      <c r="G155" t="s">
        <v>15</v>
      </c>
      <c r="H155">
        <v>4</v>
      </c>
      <c r="I155">
        <v>20000</v>
      </c>
      <c r="J155">
        <v>80000</v>
      </c>
      <c r="K155">
        <f t="shared" si="8"/>
        <v>40000</v>
      </c>
    </row>
    <row r="156" spans="1:11" x14ac:dyDescent="0.3">
      <c r="A156">
        <v>156</v>
      </c>
      <c r="B156" s="1">
        <v>45222</v>
      </c>
      <c r="C156" t="str">
        <f t="shared" si="7"/>
        <v>Oct</v>
      </c>
      <c r="D156" t="s">
        <v>89</v>
      </c>
      <c r="E156" t="s">
        <v>13</v>
      </c>
      <c r="F156" t="s">
        <v>41</v>
      </c>
      <c r="G156" t="s">
        <v>15</v>
      </c>
      <c r="H156">
        <v>2</v>
      </c>
      <c r="I156">
        <v>10000</v>
      </c>
      <c r="J156">
        <v>20000</v>
      </c>
      <c r="K156">
        <f t="shared" si="8"/>
        <v>10000</v>
      </c>
    </row>
    <row r="157" spans="1:11" x14ac:dyDescent="0.3">
      <c r="A157">
        <v>157</v>
      </c>
      <c r="B157" s="1">
        <v>45056</v>
      </c>
      <c r="C157" t="str">
        <f t="shared" si="7"/>
        <v>May</v>
      </c>
      <c r="D157" t="s">
        <v>94</v>
      </c>
      <c r="E157" t="s">
        <v>13</v>
      </c>
      <c r="F157" t="s">
        <v>20</v>
      </c>
      <c r="G157" t="s">
        <v>15</v>
      </c>
      <c r="H157">
        <v>3</v>
      </c>
      <c r="I157">
        <v>10000</v>
      </c>
      <c r="J157">
        <v>30000</v>
      </c>
      <c r="K157">
        <f t="shared" si="8"/>
        <v>15000</v>
      </c>
    </row>
    <row r="158" spans="1:11" x14ac:dyDescent="0.3">
      <c r="A158">
        <v>158</v>
      </c>
      <c r="B158" s="1">
        <v>45162</v>
      </c>
      <c r="C158" t="str">
        <f t="shared" si="7"/>
        <v>Aug</v>
      </c>
      <c r="D158" t="s">
        <v>97</v>
      </c>
      <c r="E158" t="s">
        <v>25</v>
      </c>
      <c r="F158" t="s">
        <v>20</v>
      </c>
      <c r="G158" t="s">
        <v>21</v>
      </c>
      <c r="H158">
        <v>3</v>
      </c>
      <c r="I158">
        <v>30000</v>
      </c>
      <c r="J158">
        <v>90000</v>
      </c>
      <c r="K158">
        <f t="shared" si="8"/>
        <v>45000</v>
      </c>
    </row>
    <row r="159" spans="1:11" x14ac:dyDescent="0.3">
      <c r="A159">
        <v>159</v>
      </c>
      <c r="B159" s="1">
        <v>45279</v>
      </c>
      <c r="C159" t="str">
        <f t="shared" si="7"/>
        <v>Dec</v>
      </c>
      <c r="D159" t="s">
        <v>99</v>
      </c>
      <c r="E159" t="s">
        <v>25</v>
      </c>
      <c r="F159" t="s">
        <v>14</v>
      </c>
      <c r="G159" t="s">
        <v>15</v>
      </c>
      <c r="H159">
        <v>3</v>
      </c>
      <c r="I159">
        <v>30000</v>
      </c>
      <c r="J159">
        <v>90000</v>
      </c>
      <c r="K159">
        <f t="shared" si="8"/>
        <v>45000</v>
      </c>
    </row>
    <row r="160" spans="1:11" x14ac:dyDescent="0.3">
      <c r="A160">
        <v>160</v>
      </c>
      <c r="B160" s="1">
        <v>45279</v>
      </c>
      <c r="C160" t="str">
        <f t="shared" si="7"/>
        <v>Dec</v>
      </c>
      <c r="D160" t="s">
        <v>88</v>
      </c>
      <c r="E160" t="s">
        <v>32</v>
      </c>
      <c r="F160" t="s">
        <v>20</v>
      </c>
      <c r="G160" t="s">
        <v>15</v>
      </c>
      <c r="H160">
        <v>5</v>
      </c>
      <c r="I160">
        <v>20000</v>
      </c>
      <c r="J160">
        <v>100000</v>
      </c>
      <c r="K160">
        <f t="shared" si="8"/>
        <v>50000</v>
      </c>
    </row>
    <row r="161" spans="1:11" x14ac:dyDescent="0.3">
      <c r="A161">
        <v>161</v>
      </c>
      <c r="B161" s="1">
        <v>45182</v>
      </c>
      <c r="C161" t="str">
        <f t="shared" si="7"/>
        <v>Sep</v>
      </c>
      <c r="D161" t="s">
        <v>68</v>
      </c>
      <c r="E161" t="s">
        <v>28</v>
      </c>
      <c r="F161" t="s">
        <v>20</v>
      </c>
      <c r="G161" t="s">
        <v>15</v>
      </c>
      <c r="H161">
        <v>5</v>
      </c>
      <c r="I161">
        <v>10000</v>
      </c>
      <c r="J161">
        <v>50000</v>
      </c>
      <c r="K161">
        <f t="shared" si="8"/>
        <v>25000</v>
      </c>
    </row>
    <row r="162" spans="1:11" x14ac:dyDescent="0.3">
      <c r="A162">
        <v>162</v>
      </c>
      <c r="B162" s="1">
        <v>45182</v>
      </c>
      <c r="C162" t="str">
        <f t="shared" si="7"/>
        <v>Sep</v>
      </c>
      <c r="D162" t="s">
        <v>90</v>
      </c>
      <c r="E162" t="s">
        <v>32</v>
      </c>
      <c r="F162" t="s">
        <v>41</v>
      </c>
      <c r="G162" t="s">
        <v>15</v>
      </c>
      <c r="H162">
        <v>3</v>
      </c>
      <c r="I162">
        <v>10000</v>
      </c>
      <c r="J162">
        <v>30000</v>
      </c>
      <c r="K162">
        <f t="shared" si="8"/>
        <v>15000</v>
      </c>
    </row>
    <row r="163" spans="1:11" x14ac:dyDescent="0.3">
      <c r="A163">
        <v>163</v>
      </c>
      <c r="B163" s="1">
        <v>45182</v>
      </c>
      <c r="C163" t="str">
        <f t="shared" si="7"/>
        <v>Sep</v>
      </c>
      <c r="D163" t="s">
        <v>84</v>
      </c>
      <c r="E163" t="s">
        <v>13</v>
      </c>
      <c r="F163" t="s">
        <v>30</v>
      </c>
      <c r="G163" t="s">
        <v>15</v>
      </c>
      <c r="H163">
        <v>1</v>
      </c>
      <c r="I163">
        <v>10000</v>
      </c>
      <c r="J163">
        <v>10000</v>
      </c>
      <c r="K163">
        <f t="shared" si="8"/>
        <v>5000</v>
      </c>
    </row>
    <row r="164" spans="1:11" x14ac:dyDescent="0.3">
      <c r="A164">
        <v>164</v>
      </c>
      <c r="B164" s="1">
        <v>45166</v>
      </c>
      <c r="C164" t="str">
        <f t="shared" si="7"/>
        <v>Aug</v>
      </c>
      <c r="D164" t="s">
        <v>68</v>
      </c>
      <c r="E164" t="s">
        <v>25</v>
      </c>
      <c r="F164" t="s">
        <v>30</v>
      </c>
      <c r="G164" t="s">
        <v>15</v>
      </c>
      <c r="H164">
        <v>1</v>
      </c>
      <c r="I164">
        <v>20000</v>
      </c>
      <c r="J164">
        <v>20000</v>
      </c>
      <c r="K164">
        <f t="shared" si="8"/>
        <v>10000</v>
      </c>
    </row>
    <row r="165" spans="1:11" x14ac:dyDescent="0.3">
      <c r="A165">
        <v>165</v>
      </c>
      <c r="B165" s="1">
        <v>45160</v>
      </c>
      <c r="C165" t="str">
        <f t="shared" si="7"/>
        <v>Aug</v>
      </c>
      <c r="D165" t="s">
        <v>94</v>
      </c>
      <c r="E165" t="s">
        <v>32</v>
      </c>
      <c r="F165" t="s">
        <v>20</v>
      </c>
      <c r="G165" t="s">
        <v>15</v>
      </c>
      <c r="H165">
        <v>1</v>
      </c>
      <c r="I165">
        <v>10000</v>
      </c>
      <c r="J165">
        <v>10000</v>
      </c>
      <c r="K165">
        <f t="shared" si="8"/>
        <v>5000</v>
      </c>
    </row>
    <row r="166" spans="1:11" x14ac:dyDescent="0.3">
      <c r="A166">
        <v>166</v>
      </c>
      <c r="B166" s="1">
        <v>45051</v>
      </c>
      <c r="C166" t="str">
        <f t="shared" si="7"/>
        <v>May</v>
      </c>
      <c r="D166" t="s">
        <v>77</v>
      </c>
      <c r="E166" t="s">
        <v>28</v>
      </c>
      <c r="F166" t="s">
        <v>14</v>
      </c>
      <c r="G166" t="s">
        <v>15</v>
      </c>
      <c r="H166">
        <v>3</v>
      </c>
      <c r="I166">
        <v>1000</v>
      </c>
      <c r="J166">
        <v>3000</v>
      </c>
      <c r="K166">
        <f t="shared" si="8"/>
        <v>1500</v>
      </c>
    </row>
    <row r="167" spans="1:11" x14ac:dyDescent="0.3">
      <c r="A167">
        <v>167</v>
      </c>
      <c r="B167" s="1">
        <v>45097</v>
      </c>
      <c r="C167" t="str">
        <f t="shared" si="7"/>
        <v>Jun</v>
      </c>
      <c r="D167" t="s">
        <v>49</v>
      </c>
      <c r="E167" t="s">
        <v>25</v>
      </c>
      <c r="F167" t="s">
        <v>20</v>
      </c>
      <c r="G167" t="s">
        <v>21</v>
      </c>
      <c r="H167">
        <v>2</v>
      </c>
      <c r="I167">
        <v>10000</v>
      </c>
      <c r="J167">
        <v>20000</v>
      </c>
      <c r="K167">
        <f t="shared" si="8"/>
        <v>10000</v>
      </c>
    </row>
    <row r="168" spans="1:11" x14ac:dyDescent="0.3">
      <c r="A168">
        <v>168</v>
      </c>
      <c r="B168" s="1">
        <v>45097</v>
      </c>
      <c r="C168" t="str">
        <f t="shared" si="7"/>
        <v>Jun</v>
      </c>
      <c r="D168" t="s">
        <v>22</v>
      </c>
      <c r="E168" t="s">
        <v>23</v>
      </c>
      <c r="F168" t="s">
        <v>34</v>
      </c>
      <c r="G168" t="s">
        <v>15</v>
      </c>
      <c r="H168">
        <v>5</v>
      </c>
      <c r="I168">
        <v>20000</v>
      </c>
      <c r="J168">
        <v>100000</v>
      </c>
      <c r="K168">
        <f t="shared" si="8"/>
        <v>50000</v>
      </c>
    </row>
    <row r="169" spans="1:11" x14ac:dyDescent="0.3">
      <c r="A169">
        <v>169</v>
      </c>
      <c r="B169" s="1">
        <v>45011</v>
      </c>
      <c r="C169" t="str">
        <f t="shared" si="7"/>
        <v>Mar</v>
      </c>
      <c r="D169" t="s">
        <v>77</v>
      </c>
      <c r="E169" t="s">
        <v>13</v>
      </c>
      <c r="F169" t="s">
        <v>20</v>
      </c>
      <c r="G169" t="s">
        <v>15</v>
      </c>
      <c r="H169">
        <v>3</v>
      </c>
      <c r="I169">
        <v>30000</v>
      </c>
      <c r="J169">
        <v>90000</v>
      </c>
      <c r="K169">
        <f t="shared" si="8"/>
        <v>45000</v>
      </c>
    </row>
    <row r="170" spans="1:11" x14ac:dyDescent="0.3">
      <c r="A170">
        <v>170</v>
      </c>
      <c r="B170" s="1">
        <v>44970</v>
      </c>
      <c r="C170" t="str">
        <f t="shared" si="7"/>
        <v>Feb</v>
      </c>
      <c r="D170" t="s">
        <v>38</v>
      </c>
      <c r="E170" t="s">
        <v>28</v>
      </c>
      <c r="F170" t="s">
        <v>20</v>
      </c>
      <c r="G170" t="s">
        <v>21</v>
      </c>
      <c r="H170">
        <v>5</v>
      </c>
      <c r="I170">
        <v>1000</v>
      </c>
      <c r="J170">
        <v>5000</v>
      </c>
      <c r="K170">
        <f t="shared" si="8"/>
        <v>2500</v>
      </c>
    </row>
    <row r="171" spans="1:11" x14ac:dyDescent="0.3">
      <c r="A171">
        <v>171</v>
      </c>
      <c r="B171" s="1">
        <v>45126</v>
      </c>
      <c r="C171" t="str">
        <f t="shared" si="7"/>
        <v>Jul</v>
      </c>
      <c r="D171" t="s">
        <v>24</v>
      </c>
      <c r="E171" t="s">
        <v>32</v>
      </c>
      <c r="F171" t="s">
        <v>20</v>
      </c>
      <c r="G171" t="s">
        <v>15</v>
      </c>
      <c r="H171">
        <v>3</v>
      </c>
      <c r="I171">
        <v>5000</v>
      </c>
      <c r="J171">
        <v>15000</v>
      </c>
      <c r="K171">
        <f t="shared" si="8"/>
        <v>7500</v>
      </c>
    </row>
    <row r="172" spans="1:11" x14ac:dyDescent="0.3">
      <c r="A172">
        <v>172</v>
      </c>
      <c r="B172" s="1">
        <v>45126</v>
      </c>
      <c r="C172" t="str">
        <f t="shared" si="7"/>
        <v>Jul</v>
      </c>
      <c r="D172" t="s">
        <v>100</v>
      </c>
      <c r="E172" t="s">
        <v>13</v>
      </c>
      <c r="F172" t="s">
        <v>41</v>
      </c>
      <c r="G172" t="s">
        <v>21</v>
      </c>
      <c r="H172">
        <v>4</v>
      </c>
      <c r="I172">
        <v>5000</v>
      </c>
      <c r="J172">
        <v>20000</v>
      </c>
      <c r="K172">
        <f t="shared" si="8"/>
        <v>10000</v>
      </c>
    </row>
    <row r="173" spans="1:11" x14ac:dyDescent="0.3">
      <c r="A173">
        <v>173</v>
      </c>
      <c r="B173" s="1">
        <v>45160</v>
      </c>
      <c r="C173" t="str">
        <f t="shared" si="7"/>
        <v>Aug</v>
      </c>
      <c r="D173" t="s">
        <v>38</v>
      </c>
      <c r="E173" t="s">
        <v>13</v>
      </c>
      <c r="F173" t="s">
        <v>27</v>
      </c>
      <c r="G173" t="s">
        <v>15</v>
      </c>
      <c r="H173">
        <v>3</v>
      </c>
      <c r="I173">
        <v>20000</v>
      </c>
      <c r="J173">
        <v>60000</v>
      </c>
      <c r="K173">
        <f t="shared" si="8"/>
        <v>30000</v>
      </c>
    </row>
    <row r="174" spans="1:11" x14ac:dyDescent="0.3">
      <c r="A174">
        <v>174</v>
      </c>
      <c r="B174" s="1">
        <v>45160</v>
      </c>
      <c r="C174" t="str">
        <f t="shared" si="7"/>
        <v>Aug</v>
      </c>
      <c r="D174" t="s">
        <v>40</v>
      </c>
      <c r="E174" t="s">
        <v>25</v>
      </c>
      <c r="F174" t="s">
        <v>27</v>
      </c>
      <c r="G174" t="s">
        <v>15</v>
      </c>
      <c r="H174">
        <v>3</v>
      </c>
      <c r="I174">
        <v>10000</v>
      </c>
      <c r="J174">
        <v>30000</v>
      </c>
      <c r="K174">
        <f t="shared" si="8"/>
        <v>15000</v>
      </c>
    </row>
    <row r="175" spans="1:11" x14ac:dyDescent="0.3">
      <c r="A175">
        <v>175</v>
      </c>
      <c r="B175" s="1">
        <v>45090</v>
      </c>
      <c r="C175" t="str">
        <f t="shared" si="7"/>
        <v>Jun</v>
      </c>
      <c r="D175" t="s">
        <v>38</v>
      </c>
      <c r="E175" t="s">
        <v>25</v>
      </c>
      <c r="F175" t="s">
        <v>20</v>
      </c>
      <c r="G175" t="s">
        <v>15</v>
      </c>
      <c r="H175">
        <v>3</v>
      </c>
      <c r="I175">
        <v>10000</v>
      </c>
      <c r="J175">
        <v>30000</v>
      </c>
      <c r="K175">
        <f t="shared" si="8"/>
        <v>15000</v>
      </c>
    </row>
    <row r="176" spans="1:11" x14ac:dyDescent="0.3">
      <c r="A176">
        <v>176</v>
      </c>
      <c r="B176" s="1">
        <v>45155</v>
      </c>
      <c r="C176" t="str">
        <f t="shared" si="7"/>
        <v>Aug</v>
      </c>
      <c r="D176" t="s">
        <v>100</v>
      </c>
      <c r="E176" t="s">
        <v>23</v>
      </c>
      <c r="F176" t="s">
        <v>20</v>
      </c>
      <c r="G176" t="s">
        <v>21</v>
      </c>
      <c r="H176">
        <v>3</v>
      </c>
      <c r="I176">
        <v>5000</v>
      </c>
      <c r="J176">
        <v>15000</v>
      </c>
      <c r="K176">
        <f t="shared" si="8"/>
        <v>7500</v>
      </c>
    </row>
    <row r="177" spans="1:11" x14ac:dyDescent="0.3">
      <c r="A177">
        <v>177</v>
      </c>
      <c r="B177" s="1">
        <v>45155</v>
      </c>
      <c r="C177" t="str">
        <f t="shared" si="7"/>
        <v>Aug</v>
      </c>
      <c r="D177" t="s">
        <v>89</v>
      </c>
      <c r="E177" t="s">
        <v>32</v>
      </c>
      <c r="F177" t="s">
        <v>14</v>
      </c>
      <c r="G177" t="s">
        <v>21</v>
      </c>
      <c r="H177">
        <v>3</v>
      </c>
      <c r="I177">
        <v>10000</v>
      </c>
      <c r="J177">
        <v>30000</v>
      </c>
      <c r="K177">
        <f t="shared" si="8"/>
        <v>15000</v>
      </c>
    </row>
    <row r="178" spans="1:11" x14ac:dyDescent="0.3">
      <c r="A178">
        <v>178</v>
      </c>
      <c r="B178" s="1">
        <v>45118</v>
      </c>
      <c r="C178" t="str">
        <f t="shared" si="7"/>
        <v>Jul</v>
      </c>
      <c r="D178" t="s">
        <v>38</v>
      </c>
      <c r="E178" t="s">
        <v>13</v>
      </c>
      <c r="F178" t="s">
        <v>34</v>
      </c>
      <c r="G178" t="s">
        <v>15</v>
      </c>
      <c r="H178">
        <v>1</v>
      </c>
      <c r="I178">
        <v>10000</v>
      </c>
      <c r="J178">
        <v>10000</v>
      </c>
      <c r="K178">
        <f t="shared" si="8"/>
        <v>5000</v>
      </c>
    </row>
    <row r="179" spans="1:11" x14ac:dyDescent="0.3">
      <c r="A179">
        <v>179</v>
      </c>
      <c r="B179" s="1">
        <v>45241</v>
      </c>
      <c r="C179" t="str">
        <f t="shared" si="7"/>
        <v>Nov</v>
      </c>
      <c r="D179" t="s">
        <v>91</v>
      </c>
      <c r="E179" t="s">
        <v>32</v>
      </c>
      <c r="F179" t="s">
        <v>14</v>
      </c>
      <c r="G179" t="s">
        <v>21</v>
      </c>
      <c r="H179">
        <v>3</v>
      </c>
      <c r="I179">
        <v>20000</v>
      </c>
      <c r="J179">
        <v>60000</v>
      </c>
      <c r="K179">
        <f t="shared" si="8"/>
        <v>30000</v>
      </c>
    </row>
    <row r="180" spans="1:11" x14ac:dyDescent="0.3">
      <c r="A180">
        <v>180</v>
      </c>
      <c r="B180" s="1">
        <v>44936</v>
      </c>
      <c r="C180" t="str">
        <f t="shared" si="7"/>
        <v>Jan</v>
      </c>
      <c r="D180" t="s">
        <v>53</v>
      </c>
      <c r="E180" t="s">
        <v>13</v>
      </c>
      <c r="F180" t="s">
        <v>41</v>
      </c>
      <c r="G180" t="s">
        <v>21</v>
      </c>
      <c r="H180">
        <v>3</v>
      </c>
      <c r="I180">
        <v>5000</v>
      </c>
      <c r="J180">
        <v>15000</v>
      </c>
      <c r="K180">
        <f t="shared" si="8"/>
        <v>7500</v>
      </c>
    </row>
    <row r="181" spans="1:11" x14ac:dyDescent="0.3">
      <c r="A181">
        <v>181</v>
      </c>
      <c r="B181" s="1">
        <v>45067</v>
      </c>
      <c r="C181" t="str">
        <f t="shared" si="7"/>
        <v>May</v>
      </c>
      <c r="D181" t="s">
        <v>92</v>
      </c>
      <c r="E181" t="s">
        <v>13</v>
      </c>
      <c r="F181" t="s">
        <v>20</v>
      </c>
      <c r="G181" t="s">
        <v>21</v>
      </c>
      <c r="H181">
        <v>1</v>
      </c>
      <c r="I181">
        <v>10000</v>
      </c>
      <c r="J181">
        <v>10000</v>
      </c>
      <c r="K181">
        <f t="shared" si="8"/>
        <v>5000</v>
      </c>
    </row>
    <row r="182" spans="1:11" x14ac:dyDescent="0.3">
      <c r="A182">
        <v>182</v>
      </c>
      <c r="B182" s="1">
        <v>45067</v>
      </c>
      <c r="C182" t="str">
        <f t="shared" si="7"/>
        <v>May</v>
      </c>
      <c r="D182" t="s">
        <v>47</v>
      </c>
      <c r="E182" t="s">
        <v>25</v>
      </c>
      <c r="F182" t="s">
        <v>27</v>
      </c>
      <c r="G182" t="s">
        <v>15</v>
      </c>
      <c r="H182">
        <v>3</v>
      </c>
      <c r="I182">
        <v>20000</v>
      </c>
      <c r="J182">
        <v>60000</v>
      </c>
      <c r="K182">
        <f t="shared" si="8"/>
        <v>30000</v>
      </c>
    </row>
    <row r="183" spans="1:11" x14ac:dyDescent="0.3">
      <c r="A183">
        <v>183</v>
      </c>
      <c r="B183" s="1">
        <v>45179</v>
      </c>
      <c r="C183" t="str">
        <f t="shared" si="7"/>
        <v>Sep</v>
      </c>
      <c r="D183" t="s">
        <v>46</v>
      </c>
      <c r="E183" t="s">
        <v>13</v>
      </c>
      <c r="F183" t="s">
        <v>41</v>
      </c>
      <c r="G183" t="s">
        <v>15</v>
      </c>
      <c r="H183">
        <v>3</v>
      </c>
      <c r="I183">
        <v>10000</v>
      </c>
      <c r="J183">
        <v>30000</v>
      </c>
      <c r="K183">
        <f t="shared" si="8"/>
        <v>15000</v>
      </c>
    </row>
    <row r="184" spans="1:11" x14ac:dyDescent="0.3">
      <c r="A184">
        <v>184</v>
      </c>
      <c r="B184" s="1">
        <v>44967</v>
      </c>
      <c r="C184" t="str">
        <f t="shared" si="7"/>
        <v>Feb</v>
      </c>
      <c r="D184" t="s">
        <v>56</v>
      </c>
      <c r="E184" t="s">
        <v>13</v>
      </c>
      <c r="F184" t="s">
        <v>30</v>
      </c>
      <c r="G184" t="s">
        <v>15</v>
      </c>
      <c r="H184">
        <v>3</v>
      </c>
      <c r="I184">
        <v>5000</v>
      </c>
      <c r="J184">
        <v>15000</v>
      </c>
      <c r="K184">
        <f t="shared" si="8"/>
        <v>7500</v>
      </c>
    </row>
    <row r="185" spans="1:11" x14ac:dyDescent="0.3">
      <c r="A185">
        <v>185</v>
      </c>
      <c r="B185" s="1">
        <v>45131</v>
      </c>
      <c r="C185" t="str">
        <f t="shared" si="7"/>
        <v>Jul</v>
      </c>
      <c r="D185" t="s">
        <v>66</v>
      </c>
      <c r="E185" t="s">
        <v>25</v>
      </c>
      <c r="F185" t="s">
        <v>20</v>
      </c>
      <c r="G185" t="s">
        <v>21</v>
      </c>
      <c r="H185">
        <v>5</v>
      </c>
      <c r="I185">
        <v>1000</v>
      </c>
      <c r="J185">
        <v>5000</v>
      </c>
      <c r="K185">
        <f t="shared" si="8"/>
        <v>2500</v>
      </c>
    </row>
    <row r="186" spans="1:11" x14ac:dyDescent="0.3">
      <c r="A186">
        <v>186</v>
      </c>
      <c r="B186" s="1">
        <v>45028</v>
      </c>
      <c r="C186" t="str">
        <f t="shared" si="7"/>
        <v>Apr</v>
      </c>
      <c r="D186" t="s">
        <v>100</v>
      </c>
      <c r="E186" t="s">
        <v>28</v>
      </c>
      <c r="F186" t="s">
        <v>30</v>
      </c>
      <c r="G186" t="s">
        <v>15</v>
      </c>
      <c r="H186">
        <v>3</v>
      </c>
      <c r="I186">
        <v>10000</v>
      </c>
      <c r="J186">
        <v>30000</v>
      </c>
      <c r="K186">
        <f t="shared" si="8"/>
        <v>15000</v>
      </c>
    </row>
    <row r="187" spans="1:11" x14ac:dyDescent="0.3">
      <c r="A187">
        <v>187</v>
      </c>
      <c r="B187" s="1">
        <v>44988</v>
      </c>
      <c r="C187" t="str">
        <f t="shared" si="7"/>
        <v>Mar</v>
      </c>
      <c r="D187" t="s">
        <v>68</v>
      </c>
      <c r="E187" t="s">
        <v>13</v>
      </c>
      <c r="F187" t="s">
        <v>34</v>
      </c>
      <c r="G187" t="s">
        <v>15</v>
      </c>
      <c r="H187">
        <v>3</v>
      </c>
      <c r="I187">
        <v>1000</v>
      </c>
      <c r="J187">
        <v>3000</v>
      </c>
      <c r="K187">
        <f t="shared" si="8"/>
        <v>1500</v>
      </c>
    </row>
    <row r="188" spans="1:11" x14ac:dyDescent="0.3">
      <c r="A188">
        <v>188</v>
      </c>
      <c r="B188" s="1">
        <v>45192</v>
      </c>
      <c r="C188" t="str">
        <f t="shared" si="7"/>
        <v>Sep</v>
      </c>
      <c r="D188" t="s">
        <v>53</v>
      </c>
      <c r="E188" t="s">
        <v>25</v>
      </c>
      <c r="F188" t="s">
        <v>27</v>
      </c>
      <c r="G188" t="s">
        <v>21</v>
      </c>
      <c r="H188">
        <v>5</v>
      </c>
      <c r="I188">
        <v>10000</v>
      </c>
      <c r="J188">
        <v>50000</v>
      </c>
      <c r="K188">
        <f t="shared" si="8"/>
        <v>25000</v>
      </c>
    </row>
    <row r="189" spans="1:11" x14ac:dyDescent="0.3">
      <c r="A189">
        <v>189</v>
      </c>
      <c r="B189" s="1">
        <v>45095</v>
      </c>
      <c r="C189" t="str">
        <f t="shared" si="7"/>
        <v>Jun</v>
      </c>
      <c r="D189" t="s">
        <v>33</v>
      </c>
      <c r="E189" t="s">
        <v>25</v>
      </c>
      <c r="F189" t="s">
        <v>41</v>
      </c>
      <c r="G189" t="s">
        <v>15</v>
      </c>
      <c r="H189">
        <v>1</v>
      </c>
      <c r="I189">
        <v>10000</v>
      </c>
      <c r="J189">
        <v>10000</v>
      </c>
      <c r="K189">
        <f t="shared" si="8"/>
        <v>5000</v>
      </c>
    </row>
    <row r="190" spans="1:11" x14ac:dyDescent="0.3">
      <c r="A190">
        <v>190</v>
      </c>
      <c r="B190" s="1">
        <v>45093</v>
      </c>
      <c r="C190" t="str">
        <f t="shared" si="7"/>
        <v>Jun</v>
      </c>
      <c r="D190" t="s">
        <v>56</v>
      </c>
      <c r="E190" t="s">
        <v>23</v>
      </c>
      <c r="F190" t="s">
        <v>27</v>
      </c>
      <c r="G190" t="s">
        <v>15</v>
      </c>
      <c r="H190">
        <v>4</v>
      </c>
      <c r="I190">
        <v>1000</v>
      </c>
      <c r="J190">
        <v>4000</v>
      </c>
      <c r="K190">
        <f t="shared" si="8"/>
        <v>2000</v>
      </c>
    </row>
    <row r="191" spans="1:11" x14ac:dyDescent="0.3">
      <c r="A191">
        <v>191</v>
      </c>
      <c r="B191" s="1">
        <v>45093</v>
      </c>
      <c r="C191" t="str">
        <f t="shared" si="7"/>
        <v>Jun</v>
      </c>
      <c r="D191" t="s">
        <v>29</v>
      </c>
      <c r="E191" t="s">
        <v>25</v>
      </c>
      <c r="F191" t="s">
        <v>30</v>
      </c>
      <c r="G191" t="s">
        <v>15</v>
      </c>
      <c r="H191">
        <v>3</v>
      </c>
      <c r="I191">
        <v>1000</v>
      </c>
      <c r="J191">
        <v>3000</v>
      </c>
      <c r="K191">
        <f t="shared" si="8"/>
        <v>1500</v>
      </c>
    </row>
    <row r="192" spans="1:11" x14ac:dyDescent="0.3">
      <c r="A192">
        <v>192</v>
      </c>
      <c r="B192" s="1">
        <v>45093</v>
      </c>
      <c r="C192" t="str">
        <f t="shared" si="7"/>
        <v>Jun</v>
      </c>
      <c r="D192" t="s">
        <v>12</v>
      </c>
      <c r="E192" t="s">
        <v>13</v>
      </c>
      <c r="F192" t="s">
        <v>20</v>
      </c>
      <c r="G192" t="s">
        <v>15</v>
      </c>
      <c r="H192">
        <v>2</v>
      </c>
      <c r="I192">
        <v>1000</v>
      </c>
      <c r="J192">
        <v>2000</v>
      </c>
      <c r="K192">
        <f t="shared" si="8"/>
        <v>1000</v>
      </c>
    </row>
    <row r="193" spans="1:11" x14ac:dyDescent="0.3">
      <c r="A193">
        <v>193</v>
      </c>
      <c r="B193" s="1">
        <v>45044</v>
      </c>
      <c r="C193" t="str">
        <f t="shared" si="7"/>
        <v>Apr</v>
      </c>
      <c r="D193" t="s">
        <v>79</v>
      </c>
      <c r="E193" t="s">
        <v>13</v>
      </c>
      <c r="F193" t="s">
        <v>34</v>
      </c>
      <c r="G193" t="s">
        <v>15</v>
      </c>
      <c r="H193">
        <v>2</v>
      </c>
      <c r="I193">
        <v>1000</v>
      </c>
      <c r="J193">
        <v>2000</v>
      </c>
      <c r="K193">
        <f t="shared" si="8"/>
        <v>1000</v>
      </c>
    </row>
    <row r="194" spans="1:11" x14ac:dyDescent="0.3">
      <c r="A194">
        <v>194</v>
      </c>
      <c r="B194" s="1">
        <v>45222</v>
      </c>
      <c r="C194" t="str">
        <f t="shared" si="7"/>
        <v>Oct</v>
      </c>
      <c r="D194" t="s">
        <v>87</v>
      </c>
      <c r="E194" t="s">
        <v>13</v>
      </c>
      <c r="F194" t="s">
        <v>34</v>
      </c>
      <c r="G194" t="s">
        <v>15</v>
      </c>
      <c r="H194">
        <v>4</v>
      </c>
      <c r="I194">
        <v>5000</v>
      </c>
      <c r="J194">
        <v>20000</v>
      </c>
      <c r="K194">
        <f t="shared" si="8"/>
        <v>10000</v>
      </c>
    </row>
    <row r="195" spans="1:11" x14ac:dyDescent="0.3">
      <c r="A195">
        <v>195</v>
      </c>
      <c r="B195" s="1">
        <v>45268</v>
      </c>
      <c r="C195" t="str">
        <f t="shared" ref="C195:C250" si="9">TEXT(B195,"mmm")</f>
        <v>Dec</v>
      </c>
      <c r="D195" t="s">
        <v>38</v>
      </c>
      <c r="E195" t="s">
        <v>32</v>
      </c>
      <c r="F195" t="s">
        <v>14</v>
      </c>
      <c r="G195" t="s">
        <v>21</v>
      </c>
      <c r="H195">
        <v>2</v>
      </c>
      <c r="I195">
        <v>5000</v>
      </c>
      <c r="J195">
        <v>10000</v>
      </c>
      <c r="K195">
        <f t="shared" ref="K195:K250" si="10">AVERAGE(J195,,E195)</f>
        <v>5000</v>
      </c>
    </row>
    <row r="196" spans="1:11" x14ac:dyDescent="0.3">
      <c r="A196">
        <v>196</v>
      </c>
      <c r="B196" s="1">
        <v>44994</v>
      </c>
      <c r="C196" t="str">
        <f t="shared" si="9"/>
        <v>Mar</v>
      </c>
      <c r="D196" t="s">
        <v>47</v>
      </c>
      <c r="E196" t="s">
        <v>28</v>
      </c>
      <c r="F196" t="s">
        <v>20</v>
      </c>
      <c r="G196" t="s">
        <v>15</v>
      </c>
      <c r="H196">
        <v>1</v>
      </c>
      <c r="I196">
        <v>20000</v>
      </c>
      <c r="J196">
        <v>20000</v>
      </c>
      <c r="K196">
        <f t="shared" si="10"/>
        <v>10000</v>
      </c>
    </row>
    <row r="197" spans="1:11" x14ac:dyDescent="0.3">
      <c r="A197">
        <v>197</v>
      </c>
      <c r="B197" s="1">
        <v>44981</v>
      </c>
      <c r="C197" t="str">
        <f t="shared" si="9"/>
        <v>Feb</v>
      </c>
      <c r="D197" t="s">
        <v>19</v>
      </c>
      <c r="E197" t="s">
        <v>32</v>
      </c>
      <c r="F197" t="s">
        <v>41</v>
      </c>
      <c r="G197" t="s">
        <v>15</v>
      </c>
      <c r="H197">
        <v>2</v>
      </c>
      <c r="I197">
        <v>10000</v>
      </c>
      <c r="J197">
        <v>20000</v>
      </c>
      <c r="K197">
        <f t="shared" si="10"/>
        <v>10000</v>
      </c>
    </row>
    <row r="198" spans="1:11" x14ac:dyDescent="0.3">
      <c r="A198">
        <v>198</v>
      </c>
      <c r="B198" s="1">
        <v>44966</v>
      </c>
      <c r="C198" t="str">
        <f t="shared" si="9"/>
        <v>Feb</v>
      </c>
      <c r="D198" t="s">
        <v>46</v>
      </c>
      <c r="E198" t="s">
        <v>28</v>
      </c>
      <c r="F198" t="s">
        <v>20</v>
      </c>
      <c r="G198" t="s">
        <v>15</v>
      </c>
      <c r="H198">
        <v>3</v>
      </c>
      <c r="I198">
        <v>30000</v>
      </c>
      <c r="J198">
        <v>90000</v>
      </c>
      <c r="K198">
        <f t="shared" si="10"/>
        <v>45000</v>
      </c>
    </row>
    <row r="199" spans="1:11" x14ac:dyDescent="0.3">
      <c r="A199">
        <v>199</v>
      </c>
      <c r="B199" s="1">
        <v>45078</v>
      </c>
      <c r="C199" t="str">
        <f t="shared" si="9"/>
        <v>Jun</v>
      </c>
      <c r="D199" t="s">
        <v>24</v>
      </c>
      <c r="E199" t="s">
        <v>25</v>
      </c>
      <c r="F199" t="s">
        <v>20</v>
      </c>
      <c r="G199" t="s">
        <v>21</v>
      </c>
      <c r="H199">
        <v>3</v>
      </c>
      <c r="I199">
        <v>10000</v>
      </c>
      <c r="J199">
        <v>30000</v>
      </c>
      <c r="K199">
        <f t="shared" si="10"/>
        <v>15000</v>
      </c>
    </row>
    <row r="200" spans="1:11" x14ac:dyDescent="0.3">
      <c r="A200">
        <v>200</v>
      </c>
      <c r="B200" s="1">
        <v>44932</v>
      </c>
      <c r="C200" t="str">
        <f t="shared" si="9"/>
        <v>Jan</v>
      </c>
      <c r="D200" t="s">
        <v>53</v>
      </c>
      <c r="E200" t="s">
        <v>23</v>
      </c>
      <c r="F200" t="s">
        <v>20</v>
      </c>
      <c r="G200" t="s">
        <v>15</v>
      </c>
      <c r="H200">
        <v>3</v>
      </c>
      <c r="I200">
        <v>20000</v>
      </c>
      <c r="J200">
        <v>60000</v>
      </c>
      <c r="K200">
        <f t="shared" si="10"/>
        <v>30000</v>
      </c>
    </row>
    <row r="201" spans="1:11" x14ac:dyDescent="0.3">
      <c r="A201">
        <v>201</v>
      </c>
      <c r="B201" s="1">
        <v>45125</v>
      </c>
      <c r="C201" t="str">
        <f t="shared" si="9"/>
        <v>Jul</v>
      </c>
      <c r="D201" t="s">
        <v>38</v>
      </c>
      <c r="E201" t="s">
        <v>13</v>
      </c>
      <c r="F201" t="s">
        <v>20</v>
      </c>
      <c r="G201" t="s">
        <v>15</v>
      </c>
      <c r="H201">
        <v>3</v>
      </c>
      <c r="I201">
        <v>10000</v>
      </c>
      <c r="J201">
        <v>30000</v>
      </c>
      <c r="K201">
        <f t="shared" si="10"/>
        <v>15000</v>
      </c>
    </row>
    <row r="202" spans="1:11" x14ac:dyDescent="0.3">
      <c r="A202">
        <v>202</v>
      </c>
      <c r="B202" s="1">
        <v>45137</v>
      </c>
      <c r="C202" t="str">
        <f t="shared" si="9"/>
        <v>Jul</v>
      </c>
      <c r="D202" t="s">
        <v>36</v>
      </c>
      <c r="E202" t="s">
        <v>13</v>
      </c>
      <c r="F202" t="s">
        <v>41</v>
      </c>
      <c r="G202" t="s">
        <v>15</v>
      </c>
      <c r="H202">
        <v>3</v>
      </c>
      <c r="I202">
        <v>1000</v>
      </c>
      <c r="J202">
        <v>3000</v>
      </c>
      <c r="K202">
        <f t="shared" si="10"/>
        <v>1500</v>
      </c>
    </row>
    <row r="203" spans="1:11" x14ac:dyDescent="0.3">
      <c r="A203">
        <v>203</v>
      </c>
      <c r="B203" s="1">
        <v>45287</v>
      </c>
      <c r="C203" t="str">
        <f t="shared" si="9"/>
        <v>Dec</v>
      </c>
      <c r="D203" t="s">
        <v>38</v>
      </c>
      <c r="E203" t="s">
        <v>13</v>
      </c>
      <c r="F203" t="s">
        <v>30</v>
      </c>
      <c r="G203" t="s">
        <v>21</v>
      </c>
      <c r="H203">
        <v>2</v>
      </c>
      <c r="I203">
        <v>1000</v>
      </c>
      <c r="J203">
        <v>2000</v>
      </c>
      <c r="K203">
        <f t="shared" si="10"/>
        <v>1000</v>
      </c>
    </row>
    <row r="204" spans="1:11" x14ac:dyDescent="0.3">
      <c r="A204">
        <v>204</v>
      </c>
      <c r="B204" s="1">
        <v>45087</v>
      </c>
      <c r="C204" t="str">
        <f t="shared" si="9"/>
        <v>Jun</v>
      </c>
      <c r="D204" t="s">
        <v>26</v>
      </c>
      <c r="E204" t="s">
        <v>32</v>
      </c>
      <c r="F204" t="s">
        <v>14</v>
      </c>
      <c r="G204" t="s">
        <v>15</v>
      </c>
      <c r="H204">
        <v>1</v>
      </c>
      <c r="I204">
        <v>10000</v>
      </c>
      <c r="J204">
        <v>10000</v>
      </c>
      <c r="K204">
        <f t="shared" si="10"/>
        <v>5000</v>
      </c>
    </row>
    <row r="205" spans="1:11" x14ac:dyDescent="0.3">
      <c r="A205">
        <v>205</v>
      </c>
      <c r="B205" s="1">
        <v>45290</v>
      </c>
      <c r="C205" t="str">
        <f t="shared" si="9"/>
        <v>Dec</v>
      </c>
      <c r="D205" t="s">
        <v>91</v>
      </c>
      <c r="E205" t="s">
        <v>32</v>
      </c>
      <c r="F205" t="s">
        <v>30</v>
      </c>
      <c r="G205" t="s">
        <v>21</v>
      </c>
      <c r="H205">
        <v>5</v>
      </c>
      <c r="I205">
        <v>10000</v>
      </c>
      <c r="J205">
        <v>50000</v>
      </c>
      <c r="K205">
        <f t="shared" si="10"/>
        <v>25000</v>
      </c>
    </row>
    <row r="206" spans="1:11" x14ac:dyDescent="0.3">
      <c r="A206">
        <v>206</v>
      </c>
      <c r="B206" s="1">
        <v>44951</v>
      </c>
      <c r="C206" t="str">
        <f t="shared" si="9"/>
        <v>Jan</v>
      </c>
      <c r="D206" t="s">
        <v>96</v>
      </c>
      <c r="E206" t="s">
        <v>13</v>
      </c>
      <c r="F206" t="s">
        <v>14</v>
      </c>
      <c r="G206" t="s">
        <v>15</v>
      </c>
      <c r="H206">
        <v>1</v>
      </c>
      <c r="I206">
        <v>30000</v>
      </c>
      <c r="J206">
        <v>30000</v>
      </c>
      <c r="K206">
        <f t="shared" si="10"/>
        <v>15000</v>
      </c>
    </row>
    <row r="207" spans="1:11" x14ac:dyDescent="0.3">
      <c r="A207">
        <v>207</v>
      </c>
      <c r="B207" s="1">
        <v>45143</v>
      </c>
      <c r="C207" t="str">
        <f t="shared" si="9"/>
        <v>Aug</v>
      </c>
      <c r="D207" t="s">
        <v>43</v>
      </c>
      <c r="E207" t="s">
        <v>28</v>
      </c>
      <c r="F207" t="s">
        <v>27</v>
      </c>
      <c r="G207" t="s">
        <v>15</v>
      </c>
      <c r="H207">
        <v>3</v>
      </c>
      <c r="I207">
        <v>10000</v>
      </c>
      <c r="J207">
        <v>30000</v>
      </c>
      <c r="K207">
        <f t="shared" si="10"/>
        <v>15000</v>
      </c>
    </row>
    <row r="208" spans="1:11" x14ac:dyDescent="0.3">
      <c r="A208">
        <v>208</v>
      </c>
      <c r="B208" s="1">
        <v>45089</v>
      </c>
      <c r="C208" t="str">
        <f t="shared" si="9"/>
        <v>Jun</v>
      </c>
      <c r="D208" t="s">
        <v>38</v>
      </c>
      <c r="E208" t="s">
        <v>13</v>
      </c>
      <c r="F208" t="s">
        <v>20</v>
      </c>
      <c r="G208" t="s">
        <v>15</v>
      </c>
      <c r="H208">
        <v>4</v>
      </c>
      <c r="I208">
        <v>10000</v>
      </c>
      <c r="J208">
        <v>40000</v>
      </c>
      <c r="K208">
        <f t="shared" si="10"/>
        <v>20000</v>
      </c>
    </row>
    <row r="209" spans="1:11" x14ac:dyDescent="0.3">
      <c r="A209">
        <v>209</v>
      </c>
      <c r="B209" s="1">
        <v>44940</v>
      </c>
      <c r="C209" t="str">
        <f t="shared" si="9"/>
        <v>Jan</v>
      </c>
      <c r="D209" t="s">
        <v>46</v>
      </c>
      <c r="E209" t="s">
        <v>28</v>
      </c>
      <c r="F209" t="s">
        <v>20</v>
      </c>
      <c r="G209" t="s">
        <v>21</v>
      </c>
      <c r="H209">
        <v>4</v>
      </c>
      <c r="I209">
        <v>10000</v>
      </c>
      <c r="J209">
        <v>40000</v>
      </c>
      <c r="K209">
        <f t="shared" si="10"/>
        <v>20000</v>
      </c>
    </row>
    <row r="210" spans="1:11" x14ac:dyDescent="0.3">
      <c r="A210">
        <v>210</v>
      </c>
      <c r="B210" s="1">
        <v>44982</v>
      </c>
      <c r="C210" t="str">
        <f t="shared" si="9"/>
        <v>Feb</v>
      </c>
      <c r="D210" t="s">
        <v>87</v>
      </c>
      <c r="E210" t="s">
        <v>13</v>
      </c>
      <c r="F210" t="s">
        <v>14</v>
      </c>
      <c r="G210" t="s">
        <v>21</v>
      </c>
      <c r="H210">
        <v>2</v>
      </c>
      <c r="I210">
        <v>10000</v>
      </c>
      <c r="J210">
        <v>20000</v>
      </c>
      <c r="K210">
        <f t="shared" si="10"/>
        <v>10000</v>
      </c>
    </row>
    <row r="211" spans="1:11" x14ac:dyDescent="0.3">
      <c r="A211">
        <v>211</v>
      </c>
      <c r="B211" s="1">
        <v>44982</v>
      </c>
      <c r="C211" t="str">
        <f t="shared" si="9"/>
        <v>Feb</v>
      </c>
      <c r="D211" t="s">
        <v>91</v>
      </c>
      <c r="E211" t="s">
        <v>32</v>
      </c>
      <c r="F211" t="s">
        <v>20</v>
      </c>
      <c r="G211" t="s">
        <v>15</v>
      </c>
      <c r="H211">
        <v>3</v>
      </c>
      <c r="I211">
        <v>30000</v>
      </c>
      <c r="J211">
        <v>90000</v>
      </c>
      <c r="K211">
        <f t="shared" si="10"/>
        <v>45000</v>
      </c>
    </row>
    <row r="212" spans="1:11" x14ac:dyDescent="0.3">
      <c r="A212">
        <v>212</v>
      </c>
      <c r="B212" s="1">
        <v>45218</v>
      </c>
      <c r="C212" t="str">
        <f t="shared" si="9"/>
        <v>Oct</v>
      </c>
      <c r="D212" t="s">
        <v>92</v>
      </c>
      <c r="E212" t="s">
        <v>23</v>
      </c>
      <c r="F212" t="s">
        <v>14</v>
      </c>
      <c r="G212" t="s">
        <v>15</v>
      </c>
      <c r="H212">
        <v>1</v>
      </c>
      <c r="I212">
        <v>30000</v>
      </c>
      <c r="J212">
        <v>30000</v>
      </c>
      <c r="K212">
        <f t="shared" si="10"/>
        <v>15000</v>
      </c>
    </row>
    <row r="213" spans="1:11" x14ac:dyDescent="0.3">
      <c r="A213">
        <v>213</v>
      </c>
      <c r="B213" s="1">
        <v>45077</v>
      </c>
      <c r="C213" t="str">
        <f t="shared" si="9"/>
        <v>May</v>
      </c>
      <c r="D213" t="s">
        <v>43</v>
      </c>
      <c r="E213" t="s">
        <v>13</v>
      </c>
      <c r="F213" t="s">
        <v>20</v>
      </c>
      <c r="G213" t="s">
        <v>15</v>
      </c>
      <c r="H213">
        <v>3</v>
      </c>
      <c r="I213">
        <v>10000</v>
      </c>
      <c r="J213">
        <v>30000</v>
      </c>
      <c r="K213">
        <f t="shared" si="10"/>
        <v>15000</v>
      </c>
    </row>
    <row r="214" spans="1:11" x14ac:dyDescent="0.3">
      <c r="A214">
        <v>214</v>
      </c>
      <c r="B214" s="1">
        <v>45092</v>
      </c>
      <c r="C214" t="str">
        <f t="shared" si="9"/>
        <v>Jun</v>
      </c>
      <c r="D214" t="s">
        <v>26</v>
      </c>
      <c r="E214" t="s">
        <v>28</v>
      </c>
      <c r="F214" t="s">
        <v>30</v>
      </c>
      <c r="G214" t="s">
        <v>21</v>
      </c>
      <c r="H214">
        <v>1</v>
      </c>
      <c r="I214">
        <v>5000</v>
      </c>
      <c r="J214">
        <v>5000</v>
      </c>
      <c r="K214">
        <f t="shared" si="10"/>
        <v>2500</v>
      </c>
    </row>
    <row r="215" spans="1:11" x14ac:dyDescent="0.3">
      <c r="A215">
        <v>215</v>
      </c>
      <c r="B215" s="1">
        <v>45219</v>
      </c>
      <c r="C215" t="str">
        <f t="shared" si="9"/>
        <v>Oct</v>
      </c>
      <c r="D215" t="s">
        <v>78</v>
      </c>
      <c r="E215" t="s">
        <v>23</v>
      </c>
      <c r="F215" t="s">
        <v>14</v>
      </c>
      <c r="G215" t="s">
        <v>21</v>
      </c>
      <c r="H215">
        <v>2</v>
      </c>
      <c r="I215">
        <v>10000</v>
      </c>
      <c r="J215">
        <v>20000</v>
      </c>
      <c r="K215">
        <f t="shared" si="10"/>
        <v>10000</v>
      </c>
    </row>
    <row r="216" spans="1:11" x14ac:dyDescent="0.3">
      <c r="A216">
        <v>216</v>
      </c>
      <c r="B216" s="1">
        <v>45126</v>
      </c>
      <c r="C216" t="str">
        <f t="shared" si="9"/>
        <v>Jul</v>
      </c>
      <c r="D216" t="s">
        <v>90</v>
      </c>
      <c r="E216" t="s">
        <v>13</v>
      </c>
      <c r="F216" t="s">
        <v>20</v>
      </c>
      <c r="G216" t="s">
        <v>21</v>
      </c>
      <c r="H216">
        <v>1</v>
      </c>
      <c r="I216">
        <v>30000</v>
      </c>
      <c r="J216">
        <v>30000</v>
      </c>
      <c r="K216">
        <f t="shared" si="10"/>
        <v>15000</v>
      </c>
    </row>
    <row r="217" spans="1:11" x14ac:dyDescent="0.3">
      <c r="A217">
        <v>217</v>
      </c>
      <c r="B217" s="1">
        <v>44946</v>
      </c>
      <c r="C217" t="str">
        <f t="shared" si="9"/>
        <v>Jan</v>
      </c>
      <c r="D217" t="s">
        <v>88</v>
      </c>
      <c r="E217" t="s">
        <v>32</v>
      </c>
      <c r="F217" t="s">
        <v>30</v>
      </c>
      <c r="G217" t="s">
        <v>21</v>
      </c>
      <c r="H217">
        <v>3</v>
      </c>
      <c r="I217">
        <v>30000</v>
      </c>
      <c r="J217">
        <v>90000</v>
      </c>
      <c r="K217">
        <f t="shared" si="10"/>
        <v>45000</v>
      </c>
    </row>
    <row r="218" spans="1:11" x14ac:dyDescent="0.3">
      <c r="A218">
        <v>218</v>
      </c>
      <c r="B218" s="1">
        <v>45177</v>
      </c>
      <c r="C218" t="str">
        <f t="shared" si="9"/>
        <v>Sep</v>
      </c>
      <c r="D218" t="s">
        <v>19</v>
      </c>
      <c r="E218" t="s">
        <v>25</v>
      </c>
      <c r="F218" t="s">
        <v>14</v>
      </c>
      <c r="G218" t="s">
        <v>21</v>
      </c>
      <c r="H218">
        <v>3</v>
      </c>
      <c r="I218">
        <v>30000</v>
      </c>
      <c r="J218">
        <v>90000</v>
      </c>
      <c r="K218">
        <f t="shared" si="10"/>
        <v>45000</v>
      </c>
    </row>
    <row r="219" spans="1:11" x14ac:dyDescent="0.3">
      <c r="A219">
        <v>219</v>
      </c>
      <c r="B219" s="1">
        <v>45273</v>
      </c>
      <c r="C219" t="str">
        <f t="shared" si="9"/>
        <v>Dec</v>
      </c>
      <c r="D219" t="s">
        <v>68</v>
      </c>
      <c r="E219" t="s">
        <v>13</v>
      </c>
      <c r="F219" t="s">
        <v>27</v>
      </c>
      <c r="G219" t="s">
        <v>15</v>
      </c>
      <c r="H219">
        <v>2</v>
      </c>
      <c r="I219">
        <v>5000</v>
      </c>
      <c r="J219">
        <v>10000</v>
      </c>
      <c r="K219">
        <f t="shared" si="10"/>
        <v>5000</v>
      </c>
    </row>
    <row r="220" spans="1:11" x14ac:dyDescent="0.3">
      <c r="A220">
        <v>220</v>
      </c>
      <c r="B220" s="1">
        <v>45193</v>
      </c>
      <c r="C220" t="str">
        <f t="shared" si="9"/>
        <v>Sep</v>
      </c>
      <c r="D220" t="s">
        <v>91</v>
      </c>
      <c r="E220" t="s">
        <v>28</v>
      </c>
      <c r="F220" t="s">
        <v>20</v>
      </c>
      <c r="G220" t="s">
        <v>15</v>
      </c>
      <c r="H220">
        <v>5</v>
      </c>
      <c r="I220">
        <v>10000</v>
      </c>
      <c r="J220">
        <v>50000</v>
      </c>
      <c r="K220">
        <f t="shared" si="10"/>
        <v>25000</v>
      </c>
    </row>
    <row r="221" spans="1:11" x14ac:dyDescent="0.3">
      <c r="A221">
        <v>221</v>
      </c>
      <c r="B221" s="1">
        <v>45140</v>
      </c>
      <c r="C221" t="str">
        <f t="shared" si="9"/>
        <v>Aug</v>
      </c>
      <c r="D221" t="s">
        <v>38</v>
      </c>
      <c r="E221" t="s">
        <v>23</v>
      </c>
      <c r="F221" t="s">
        <v>30</v>
      </c>
      <c r="G221" t="s">
        <v>15</v>
      </c>
      <c r="H221">
        <v>3</v>
      </c>
      <c r="I221">
        <v>5000</v>
      </c>
      <c r="J221">
        <v>15000</v>
      </c>
      <c r="K221">
        <f t="shared" si="10"/>
        <v>7500</v>
      </c>
    </row>
    <row r="222" spans="1:11" x14ac:dyDescent="0.3">
      <c r="A222">
        <v>222</v>
      </c>
      <c r="B222" s="1">
        <v>45035</v>
      </c>
      <c r="C222" t="str">
        <f t="shared" si="9"/>
        <v>Apr</v>
      </c>
      <c r="D222" t="s">
        <v>42</v>
      </c>
      <c r="E222" t="s">
        <v>28</v>
      </c>
      <c r="F222" t="s">
        <v>34</v>
      </c>
      <c r="G222" t="s">
        <v>15</v>
      </c>
      <c r="H222">
        <v>3</v>
      </c>
      <c r="I222">
        <v>30000</v>
      </c>
      <c r="J222">
        <v>90000</v>
      </c>
      <c r="K222">
        <f t="shared" si="10"/>
        <v>45000</v>
      </c>
    </row>
    <row r="223" spans="1:11" x14ac:dyDescent="0.3">
      <c r="A223">
        <v>223</v>
      </c>
      <c r="B223" s="1">
        <v>45255</v>
      </c>
      <c r="C223" t="str">
        <f t="shared" si="9"/>
        <v>Nov</v>
      </c>
      <c r="D223" t="s">
        <v>92</v>
      </c>
      <c r="E223" t="s">
        <v>25</v>
      </c>
      <c r="F223" t="s">
        <v>20</v>
      </c>
      <c r="G223" t="s">
        <v>15</v>
      </c>
      <c r="H223">
        <v>3</v>
      </c>
      <c r="I223">
        <v>10000</v>
      </c>
      <c r="J223">
        <v>30000</v>
      </c>
      <c r="K223">
        <f t="shared" si="10"/>
        <v>15000</v>
      </c>
    </row>
    <row r="224" spans="1:11" x14ac:dyDescent="0.3">
      <c r="A224">
        <v>224</v>
      </c>
      <c r="B224" s="1">
        <v>45266</v>
      </c>
      <c r="C224" t="str">
        <f t="shared" si="9"/>
        <v>Dec</v>
      </c>
      <c r="D224" t="s">
        <v>51</v>
      </c>
      <c r="E224" t="s">
        <v>13</v>
      </c>
      <c r="F224" t="s">
        <v>41</v>
      </c>
      <c r="G224" t="s">
        <v>15</v>
      </c>
      <c r="H224">
        <v>2</v>
      </c>
      <c r="I224">
        <v>10000</v>
      </c>
      <c r="J224">
        <v>20000</v>
      </c>
      <c r="K224">
        <f t="shared" si="10"/>
        <v>10000</v>
      </c>
    </row>
    <row r="225" spans="1:11" x14ac:dyDescent="0.3">
      <c r="A225">
        <v>225</v>
      </c>
      <c r="B225" s="1">
        <v>45261</v>
      </c>
      <c r="C225" t="str">
        <f t="shared" si="9"/>
        <v>Dec</v>
      </c>
      <c r="D225" t="s">
        <v>91</v>
      </c>
      <c r="E225" t="s">
        <v>23</v>
      </c>
      <c r="F225" t="s">
        <v>14</v>
      </c>
      <c r="G225" t="s">
        <v>21</v>
      </c>
      <c r="H225">
        <v>5</v>
      </c>
      <c r="I225">
        <v>5000</v>
      </c>
      <c r="J225">
        <v>25000</v>
      </c>
      <c r="K225">
        <f t="shared" si="10"/>
        <v>12500</v>
      </c>
    </row>
    <row r="226" spans="1:11" x14ac:dyDescent="0.3">
      <c r="A226">
        <v>226</v>
      </c>
      <c r="B226" s="1">
        <v>45200</v>
      </c>
      <c r="C226" t="str">
        <f t="shared" si="9"/>
        <v>Oct</v>
      </c>
      <c r="D226" t="s">
        <v>92</v>
      </c>
      <c r="E226" t="s">
        <v>28</v>
      </c>
      <c r="F226" t="s">
        <v>20</v>
      </c>
      <c r="G226" t="s">
        <v>15</v>
      </c>
      <c r="H226">
        <v>2</v>
      </c>
      <c r="I226">
        <v>1000</v>
      </c>
      <c r="J226">
        <v>2000</v>
      </c>
      <c r="K226">
        <f t="shared" si="10"/>
        <v>1000</v>
      </c>
    </row>
    <row r="227" spans="1:11" x14ac:dyDescent="0.3">
      <c r="A227">
        <v>227</v>
      </c>
      <c r="B227" s="1">
        <v>45200</v>
      </c>
      <c r="C227" t="str">
        <f t="shared" si="9"/>
        <v>Oct</v>
      </c>
      <c r="D227" t="s">
        <v>81</v>
      </c>
      <c r="E227" t="s">
        <v>13</v>
      </c>
      <c r="F227" t="s">
        <v>30</v>
      </c>
      <c r="G227" t="s">
        <v>21</v>
      </c>
      <c r="H227">
        <v>3</v>
      </c>
      <c r="I227">
        <v>20000</v>
      </c>
      <c r="J227">
        <v>60000</v>
      </c>
      <c r="K227">
        <f t="shared" si="10"/>
        <v>30000</v>
      </c>
    </row>
    <row r="228" spans="1:11" x14ac:dyDescent="0.3">
      <c r="A228">
        <v>228</v>
      </c>
      <c r="B228" s="1">
        <v>45161</v>
      </c>
      <c r="C228" t="str">
        <f t="shared" si="9"/>
        <v>Aug</v>
      </c>
      <c r="D228" t="s">
        <v>82</v>
      </c>
      <c r="E228" t="s">
        <v>13</v>
      </c>
      <c r="F228" t="s">
        <v>14</v>
      </c>
      <c r="G228" t="s">
        <v>21</v>
      </c>
      <c r="H228">
        <v>3</v>
      </c>
      <c r="I228">
        <v>5000</v>
      </c>
      <c r="J228">
        <v>15000</v>
      </c>
      <c r="K228">
        <f t="shared" si="10"/>
        <v>7500</v>
      </c>
    </row>
    <row r="229" spans="1:11" x14ac:dyDescent="0.3">
      <c r="A229">
        <v>229</v>
      </c>
      <c r="B229" s="1">
        <v>45198</v>
      </c>
      <c r="C229" t="str">
        <f t="shared" si="9"/>
        <v>Sep</v>
      </c>
      <c r="D229" t="s">
        <v>79</v>
      </c>
      <c r="E229" t="s">
        <v>23</v>
      </c>
      <c r="F229" t="s">
        <v>27</v>
      </c>
      <c r="G229" t="s">
        <v>21</v>
      </c>
      <c r="H229">
        <v>1</v>
      </c>
      <c r="I229">
        <v>10000</v>
      </c>
      <c r="J229">
        <v>10000</v>
      </c>
      <c r="K229">
        <f t="shared" si="10"/>
        <v>5000</v>
      </c>
    </row>
    <row r="230" spans="1:11" x14ac:dyDescent="0.3">
      <c r="A230">
        <v>230</v>
      </c>
      <c r="B230" s="1">
        <v>45267</v>
      </c>
      <c r="C230" t="str">
        <f t="shared" si="9"/>
        <v>Dec</v>
      </c>
      <c r="D230" t="s">
        <v>78</v>
      </c>
      <c r="E230" t="s">
        <v>13</v>
      </c>
      <c r="F230" t="s">
        <v>20</v>
      </c>
      <c r="G230" t="s">
        <v>15</v>
      </c>
      <c r="H230">
        <v>3</v>
      </c>
      <c r="I230">
        <v>10000</v>
      </c>
      <c r="J230">
        <v>30000</v>
      </c>
      <c r="K230">
        <f t="shared" si="10"/>
        <v>15000</v>
      </c>
    </row>
    <row r="231" spans="1:11" x14ac:dyDescent="0.3">
      <c r="A231">
        <v>231</v>
      </c>
      <c r="B231" s="1">
        <v>45215</v>
      </c>
      <c r="C231" t="str">
        <f t="shared" si="9"/>
        <v>Oct</v>
      </c>
      <c r="D231" t="s">
        <v>43</v>
      </c>
      <c r="E231" t="s">
        <v>23</v>
      </c>
      <c r="F231" t="s">
        <v>20</v>
      </c>
      <c r="G231" t="s">
        <v>15</v>
      </c>
      <c r="H231">
        <v>5</v>
      </c>
      <c r="I231">
        <v>20000</v>
      </c>
      <c r="J231">
        <v>100000</v>
      </c>
      <c r="K231">
        <f t="shared" si="10"/>
        <v>50000</v>
      </c>
    </row>
    <row r="232" spans="1:11" x14ac:dyDescent="0.3">
      <c r="A232">
        <v>232</v>
      </c>
      <c r="B232" s="1">
        <v>45195</v>
      </c>
      <c r="C232" t="str">
        <f t="shared" si="9"/>
        <v>Sep</v>
      </c>
      <c r="D232" t="s">
        <v>59</v>
      </c>
      <c r="E232" t="s">
        <v>23</v>
      </c>
      <c r="F232" t="s">
        <v>30</v>
      </c>
      <c r="G232" t="s">
        <v>15</v>
      </c>
      <c r="H232">
        <v>2</v>
      </c>
      <c r="I232">
        <v>10000</v>
      </c>
      <c r="J232">
        <v>20000</v>
      </c>
      <c r="K232">
        <f t="shared" si="10"/>
        <v>10000</v>
      </c>
    </row>
    <row r="233" spans="1:11" x14ac:dyDescent="0.3">
      <c r="A233">
        <v>233</v>
      </c>
      <c r="B233" s="1">
        <v>45195</v>
      </c>
      <c r="C233" t="str">
        <f t="shared" si="9"/>
        <v>Sep</v>
      </c>
      <c r="D233" t="s">
        <v>97</v>
      </c>
      <c r="E233" t="s">
        <v>32</v>
      </c>
      <c r="F233" t="s">
        <v>41</v>
      </c>
      <c r="G233" t="s">
        <v>21</v>
      </c>
      <c r="H233">
        <v>2</v>
      </c>
      <c r="I233">
        <v>5000</v>
      </c>
      <c r="J233">
        <v>10000</v>
      </c>
      <c r="K233">
        <f t="shared" si="10"/>
        <v>5000</v>
      </c>
    </row>
    <row r="234" spans="1:11" x14ac:dyDescent="0.3">
      <c r="A234">
        <v>234</v>
      </c>
      <c r="B234" s="1">
        <v>45088</v>
      </c>
      <c r="C234" t="str">
        <f t="shared" si="9"/>
        <v>Jun</v>
      </c>
      <c r="D234" t="s">
        <v>87</v>
      </c>
      <c r="E234" t="s">
        <v>23</v>
      </c>
      <c r="F234" t="s">
        <v>27</v>
      </c>
      <c r="G234" t="s">
        <v>15</v>
      </c>
      <c r="H234">
        <v>3</v>
      </c>
      <c r="I234">
        <v>1000</v>
      </c>
      <c r="J234">
        <v>3000</v>
      </c>
      <c r="K234">
        <f t="shared" si="10"/>
        <v>1500</v>
      </c>
    </row>
    <row r="235" spans="1:11" x14ac:dyDescent="0.3">
      <c r="A235">
        <v>235</v>
      </c>
      <c r="B235" s="1">
        <v>45057</v>
      </c>
      <c r="C235" t="str">
        <f t="shared" si="9"/>
        <v>May</v>
      </c>
      <c r="D235" t="s">
        <v>38</v>
      </c>
      <c r="E235" t="s">
        <v>23</v>
      </c>
      <c r="F235" t="s">
        <v>14</v>
      </c>
      <c r="G235" t="s">
        <v>21</v>
      </c>
      <c r="H235">
        <v>3</v>
      </c>
      <c r="I235">
        <v>10000</v>
      </c>
      <c r="J235">
        <v>30000</v>
      </c>
      <c r="K235">
        <f t="shared" si="10"/>
        <v>15000</v>
      </c>
    </row>
    <row r="236" spans="1:11" x14ac:dyDescent="0.3">
      <c r="A236">
        <v>236</v>
      </c>
      <c r="B236" s="1">
        <v>45057</v>
      </c>
      <c r="C236" t="str">
        <f t="shared" si="9"/>
        <v>May</v>
      </c>
      <c r="D236" t="s">
        <v>46</v>
      </c>
      <c r="E236" t="s">
        <v>23</v>
      </c>
      <c r="F236" t="s">
        <v>20</v>
      </c>
      <c r="G236" t="s">
        <v>21</v>
      </c>
      <c r="H236">
        <v>5</v>
      </c>
      <c r="I236">
        <v>10000</v>
      </c>
      <c r="J236">
        <v>50000</v>
      </c>
      <c r="K236">
        <f t="shared" si="10"/>
        <v>25000</v>
      </c>
    </row>
    <row r="237" spans="1:11" x14ac:dyDescent="0.3">
      <c r="A237">
        <v>237</v>
      </c>
      <c r="B237" s="1">
        <v>45179</v>
      </c>
      <c r="C237" t="str">
        <f t="shared" si="9"/>
        <v>Sep</v>
      </c>
      <c r="D237" t="s">
        <v>36</v>
      </c>
      <c r="E237" t="s">
        <v>28</v>
      </c>
      <c r="F237" t="s">
        <v>14</v>
      </c>
      <c r="G237" t="s">
        <v>15</v>
      </c>
      <c r="H237">
        <v>2</v>
      </c>
      <c r="I237">
        <v>10000</v>
      </c>
      <c r="J237">
        <v>20000</v>
      </c>
      <c r="K237">
        <f t="shared" si="10"/>
        <v>10000</v>
      </c>
    </row>
    <row r="238" spans="1:11" x14ac:dyDescent="0.3">
      <c r="A238">
        <v>238</v>
      </c>
      <c r="B238" s="1">
        <v>45121</v>
      </c>
      <c r="C238" t="str">
        <f t="shared" si="9"/>
        <v>Jul</v>
      </c>
      <c r="D238" t="s">
        <v>59</v>
      </c>
      <c r="E238" t="s">
        <v>13</v>
      </c>
      <c r="F238" t="s">
        <v>30</v>
      </c>
      <c r="G238" t="s">
        <v>21</v>
      </c>
      <c r="H238">
        <v>5</v>
      </c>
      <c r="I238">
        <v>10000</v>
      </c>
      <c r="J238">
        <v>50000</v>
      </c>
      <c r="K238">
        <f t="shared" si="10"/>
        <v>25000</v>
      </c>
    </row>
    <row r="239" spans="1:11" x14ac:dyDescent="0.3">
      <c r="A239">
        <v>239</v>
      </c>
      <c r="B239" s="1">
        <v>45158</v>
      </c>
      <c r="C239" t="str">
        <f t="shared" si="9"/>
        <v>Aug</v>
      </c>
      <c r="D239" t="s">
        <v>99</v>
      </c>
      <c r="E239" t="s">
        <v>25</v>
      </c>
      <c r="F239" t="s">
        <v>41</v>
      </c>
      <c r="G239" t="s">
        <v>15</v>
      </c>
      <c r="H239">
        <v>3</v>
      </c>
      <c r="I239">
        <v>10000</v>
      </c>
      <c r="J239">
        <v>30000</v>
      </c>
      <c r="K239">
        <f t="shared" si="10"/>
        <v>15000</v>
      </c>
    </row>
    <row r="240" spans="1:11" x14ac:dyDescent="0.3">
      <c r="A240">
        <v>240</v>
      </c>
      <c r="B240" s="1">
        <v>45164</v>
      </c>
      <c r="C240" t="str">
        <f t="shared" si="9"/>
        <v>Aug</v>
      </c>
      <c r="D240" t="s">
        <v>24</v>
      </c>
      <c r="E240" t="s">
        <v>32</v>
      </c>
      <c r="F240" t="s">
        <v>27</v>
      </c>
      <c r="G240" t="s">
        <v>21</v>
      </c>
      <c r="H240">
        <v>3</v>
      </c>
      <c r="I240">
        <v>10000</v>
      </c>
      <c r="J240">
        <v>30000</v>
      </c>
      <c r="K240">
        <f t="shared" si="10"/>
        <v>15000</v>
      </c>
    </row>
    <row r="241" spans="1:11" x14ac:dyDescent="0.3">
      <c r="A241">
        <v>241</v>
      </c>
      <c r="B241" s="1">
        <v>45059</v>
      </c>
      <c r="C241" t="str">
        <f t="shared" si="9"/>
        <v>May</v>
      </c>
      <c r="D241" t="s">
        <v>19</v>
      </c>
      <c r="E241" t="s">
        <v>25</v>
      </c>
      <c r="F241" t="s">
        <v>27</v>
      </c>
      <c r="G241" t="s">
        <v>15</v>
      </c>
      <c r="H241">
        <v>3</v>
      </c>
      <c r="I241">
        <v>10000</v>
      </c>
      <c r="J241">
        <v>30000</v>
      </c>
      <c r="K241">
        <f t="shared" si="10"/>
        <v>15000</v>
      </c>
    </row>
    <row r="242" spans="1:11" x14ac:dyDescent="0.3">
      <c r="A242">
        <v>242</v>
      </c>
      <c r="B242" s="1">
        <v>45004</v>
      </c>
      <c r="C242" t="str">
        <f t="shared" si="9"/>
        <v>Mar</v>
      </c>
      <c r="D242" t="s">
        <v>36</v>
      </c>
      <c r="E242" t="s">
        <v>23</v>
      </c>
      <c r="F242" t="s">
        <v>20</v>
      </c>
      <c r="G242" t="s">
        <v>21</v>
      </c>
      <c r="H242">
        <v>1</v>
      </c>
      <c r="I242">
        <v>5000</v>
      </c>
      <c r="J242">
        <v>5000</v>
      </c>
      <c r="K242">
        <f t="shared" si="10"/>
        <v>2500</v>
      </c>
    </row>
    <row r="243" spans="1:11" x14ac:dyDescent="0.3">
      <c r="A243">
        <v>243</v>
      </c>
      <c r="B243" s="1">
        <v>45212</v>
      </c>
      <c r="C243" t="str">
        <f t="shared" si="9"/>
        <v>Oct</v>
      </c>
      <c r="D243" t="s">
        <v>98</v>
      </c>
      <c r="E243" t="s">
        <v>13</v>
      </c>
      <c r="F243" t="s">
        <v>41</v>
      </c>
      <c r="G243" t="s">
        <v>21</v>
      </c>
      <c r="H243">
        <v>3</v>
      </c>
      <c r="I243">
        <v>10000</v>
      </c>
      <c r="J243">
        <v>30000</v>
      </c>
      <c r="K243">
        <f t="shared" si="10"/>
        <v>15000</v>
      </c>
    </row>
    <row r="244" spans="1:11" x14ac:dyDescent="0.3">
      <c r="A244">
        <v>244</v>
      </c>
      <c r="B244" s="1">
        <v>44930</v>
      </c>
      <c r="C244" t="str">
        <f t="shared" si="9"/>
        <v>Jan</v>
      </c>
      <c r="D244" t="s">
        <v>83</v>
      </c>
      <c r="E244" t="s">
        <v>28</v>
      </c>
      <c r="F244" t="s">
        <v>20</v>
      </c>
      <c r="G244" t="s">
        <v>15</v>
      </c>
      <c r="H244">
        <v>1</v>
      </c>
      <c r="I244">
        <v>10000</v>
      </c>
      <c r="J244">
        <v>10000</v>
      </c>
      <c r="K244">
        <f t="shared" si="10"/>
        <v>5000</v>
      </c>
    </row>
    <row r="245" spans="1:11" x14ac:dyDescent="0.3">
      <c r="A245">
        <v>245</v>
      </c>
      <c r="B245" s="1">
        <v>45284</v>
      </c>
      <c r="C245" t="str">
        <f t="shared" si="9"/>
        <v>Dec</v>
      </c>
      <c r="D245" t="s">
        <v>38</v>
      </c>
      <c r="E245" t="s">
        <v>28</v>
      </c>
      <c r="F245" t="s">
        <v>30</v>
      </c>
      <c r="G245" t="s">
        <v>21</v>
      </c>
      <c r="H245">
        <v>2</v>
      </c>
      <c r="I245">
        <v>10000</v>
      </c>
      <c r="J245">
        <v>20000</v>
      </c>
      <c r="K245">
        <f t="shared" si="10"/>
        <v>10000</v>
      </c>
    </row>
    <row r="246" spans="1:11" x14ac:dyDescent="0.3">
      <c r="A246">
        <v>246</v>
      </c>
      <c r="B246" s="1">
        <v>44933</v>
      </c>
      <c r="C246" t="str">
        <f t="shared" si="9"/>
        <v>Jan</v>
      </c>
      <c r="D246" t="s">
        <v>79</v>
      </c>
      <c r="E246" t="s">
        <v>13</v>
      </c>
      <c r="F246" t="s">
        <v>30</v>
      </c>
      <c r="G246" t="s">
        <v>15</v>
      </c>
      <c r="H246">
        <v>2</v>
      </c>
      <c r="I246">
        <v>10000</v>
      </c>
      <c r="J246">
        <v>20000</v>
      </c>
      <c r="K246">
        <f t="shared" si="10"/>
        <v>10000</v>
      </c>
    </row>
    <row r="247" spans="1:11" x14ac:dyDescent="0.3">
      <c r="A247">
        <v>247</v>
      </c>
      <c r="B247" s="1">
        <v>45281</v>
      </c>
      <c r="C247" t="str">
        <f t="shared" si="9"/>
        <v>Dec</v>
      </c>
      <c r="D247" t="s">
        <v>38</v>
      </c>
      <c r="E247" t="s">
        <v>13</v>
      </c>
      <c r="F247" t="s">
        <v>20</v>
      </c>
      <c r="G247" t="s">
        <v>15</v>
      </c>
      <c r="H247">
        <v>2</v>
      </c>
      <c r="I247">
        <v>20000</v>
      </c>
      <c r="J247">
        <v>40000</v>
      </c>
      <c r="K247">
        <f t="shared" si="10"/>
        <v>20000</v>
      </c>
    </row>
    <row r="248" spans="1:11" x14ac:dyDescent="0.3">
      <c r="A248">
        <v>248</v>
      </c>
      <c r="B248" s="1">
        <v>45016</v>
      </c>
      <c r="C248" t="str">
        <f t="shared" si="9"/>
        <v>Mar</v>
      </c>
      <c r="D248" t="s">
        <v>68</v>
      </c>
      <c r="E248" t="s">
        <v>32</v>
      </c>
      <c r="F248" t="s">
        <v>30</v>
      </c>
      <c r="G248" t="s">
        <v>21</v>
      </c>
      <c r="H248">
        <v>1</v>
      </c>
      <c r="I248">
        <v>30000</v>
      </c>
      <c r="J248">
        <v>30000</v>
      </c>
      <c r="K248">
        <f t="shared" si="10"/>
        <v>15000</v>
      </c>
    </row>
    <row r="249" spans="1:11" x14ac:dyDescent="0.3">
      <c r="A249">
        <v>249</v>
      </c>
      <c r="B249" s="1">
        <v>45016</v>
      </c>
      <c r="C249" t="str">
        <f t="shared" si="9"/>
        <v>Mar</v>
      </c>
      <c r="D249" t="s">
        <v>81</v>
      </c>
      <c r="E249" t="s">
        <v>13</v>
      </c>
      <c r="F249" t="s">
        <v>20</v>
      </c>
      <c r="G249" t="s">
        <v>15</v>
      </c>
      <c r="H249">
        <v>2</v>
      </c>
      <c r="I249">
        <v>10000</v>
      </c>
      <c r="J249">
        <v>20000</v>
      </c>
      <c r="K249">
        <f t="shared" si="10"/>
        <v>10000</v>
      </c>
    </row>
    <row r="250" spans="1:11" x14ac:dyDescent="0.3">
      <c r="A250">
        <v>250</v>
      </c>
      <c r="B250" s="1">
        <v>45088</v>
      </c>
      <c r="C250" t="str">
        <f t="shared" si="9"/>
        <v>Jun</v>
      </c>
      <c r="D250" t="s">
        <v>40</v>
      </c>
      <c r="E250" t="s">
        <v>13</v>
      </c>
      <c r="F250" t="s">
        <v>20</v>
      </c>
      <c r="G250" t="s">
        <v>15</v>
      </c>
      <c r="H250">
        <v>2</v>
      </c>
      <c r="I250">
        <v>1000</v>
      </c>
      <c r="J250">
        <v>2000</v>
      </c>
      <c r="K250">
        <f t="shared" si="10"/>
        <v>1000</v>
      </c>
    </row>
  </sheetData>
  <mergeCells count="9">
    <mergeCell ref="M48:N48"/>
    <mergeCell ref="M54:N54"/>
    <mergeCell ref="M63:N63"/>
    <mergeCell ref="M1:N1"/>
    <mergeCell ref="AE2:AF2"/>
    <mergeCell ref="M9:N9"/>
    <mergeCell ref="M17:N17"/>
    <mergeCell ref="M23:N23"/>
    <mergeCell ref="M32:N32"/>
  </mergeCell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3500C-6FFF-48A7-9473-B8BAEE1442C1}">
  <sheetPr>
    <pageSetUpPr autoPageBreaks="0"/>
  </sheetPr>
  <dimension ref="A1:AB53"/>
  <sheetViews>
    <sheetView showGridLines="0" tabSelected="1" zoomScale="50" zoomScaleNormal="70" workbookViewId="0">
      <selection activeCell="AH14" sqref="AH14"/>
    </sheetView>
  </sheetViews>
  <sheetFormatPr defaultRowHeight="14.4" x14ac:dyDescent="0.3"/>
  <sheetData>
    <row r="1" spans="1:28" x14ac:dyDescent="0.3">
      <c r="A1" s="6"/>
      <c r="B1" s="6"/>
      <c r="C1" s="6"/>
      <c r="D1" s="6"/>
      <c r="E1" s="6"/>
      <c r="F1" s="6"/>
      <c r="G1" s="6"/>
      <c r="H1" s="6"/>
      <c r="I1" s="6"/>
      <c r="J1" s="6"/>
      <c r="K1" s="6"/>
      <c r="L1" s="6"/>
      <c r="M1" s="6"/>
      <c r="N1" s="6"/>
      <c r="O1" s="6"/>
      <c r="P1" s="6"/>
      <c r="Q1" s="6"/>
      <c r="R1" s="6"/>
      <c r="S1" s="6"/>
      <c r="T1" s="6"/>
      <c r="U1" s="6"/>
      <c r="V1" s="6"/>
      <c r="W1" s="6"/>
      <c r="X1" s="6"/>
      <c r="Y1" s="6"/>
      <c r="Z1" s="6"/>
      <c r="AA1" s="6"/>
      <c r="AB1" s="6"/>
    </row>
    <row r="2" spans="1:28" x14ac:dyDescent="0.3">
      <c r="A2" s="6"/>
      <c r="B2" s="6"/>
      <c r="C2" s="6"/>
      <c r="D2" s="6"/>
      <c r="E2" s="6"/>
      <c r="F2" s="6"/>
      <c r="G2" s="6"/>
      <c r="H2" s="6"/>
      <c r="I2" s="6"/>
      <c r="J2" s="6"/>
      <c r="K2" s="6"/>
      <c r="L2" s="6"/>
      <c r="M2" s="6"/>
      <c r="N2" s="6"/>
      <c r="O2" s="6"/>
      <c r="P2" s="6"/>
      <c r="Q2" s="6"/>
      <c r="R2" s="6"/>
      <c r="S2" s="6"/>
      <c r="T2" s="6"/>
      <c r="U2" s="6"/>
      <c r="V2" s="6"/>
      <c r="W2" s="6"/>
      <c r="X2" s="6"/>
      <c r="Y2" s="6"/>
      <c r="Z2" s="6"/>
      <c r="AA2" s="6"/>
      <c r="AB2" s="6"/>
    </row>
    <row r="3" spans="1:28" x14ac:dyDescent="0.3">
      <c r="A3" s="6"/>
      <c r="B3" s="6"/>
      <c r="C3" s="6"/>
      <c r="D3" s="6"/>
      <c r="E3" s="6"/>
      <c r="F3" s="6"/>
      <c r="G3" s="6"/>
      <c r="H3" s="6"/>
      <c r="I3" s="6"/>
      <c r="J3" s="6"/>
      <c r="K3" s="6"/>
      <c r="L3" s="6"/>
      <c r="M3" s="6"/>
      <c r="N3" s="6"/>
      <c r="O3" s="6"/>
      <c r="P3" s="6"/>
      <c r="Q3" s="6"/>
      <c r="R3" s="6"/>
      <c r="S3" s="6"/>
      <c r="T3" s="6"/>
      <c r="U3" s="6"/>
      <c r="V3" s="6"/>
      <c r="W3" s="6"/>
      <c r="X3" s="6"/>
      <c r="Y3" s="6"/>
      <c r="Z3" s="6"/>
      <c r="AA3" s="6"/>
      <c r="AB3" s="6"/>
    </row>
    <row r="4" spans="1:28" x14ac:dyDescent="0.3">
      <c r="A4" s="6"/>
      <c r="B4" s="6"/>
      <c r="C4" s="6"/>
      <c r="D4" s="6"/>
      <c r="E4" s="6"/>
      <c r="F4" s="6"/>
      <c r="G4" s="6"/>
      <c r="H4" s="6"/>
      <c r="I4" s="6"/>
      <c r="J4" s="6"/>
      <c r="K4" s="6"/>
      <c r="L4" s="6"/>
      <c r="M4" s="6"/>
      <c r="N4" s="6"/>
      <c r="O4" s="6"/>
      <c r="P4" s="6"/>
      <c r="Q4" s="6"/>
      <c r="R4" s="6"/>
      <c r="S4" s="6"/>
      <c r="T4" s="6"/>
      <c r="U4" s="6"/>
      <c r="V4" s="6"/>
      <c r="W4" s="6"/>
      <c r="X4" s="6"/>
      <c r="Y4" s="6"/>
      <c r="Z4" s="6"/>
      <c r="AA4" s="6"/>
      <c r="AB4" s="6"/>
    </row>
    <row r="5" spans="1:28" x14ac:dyDescent="0.3">
      <c r="A5" s="6"/>
      <c r="B5" s="6"/>
      <c r="C5" s="6"/>
      <c r="D5" s="6"/>
      <c r="E5" s="6"/>
      <c r="F5" s="6"/>
      <c r="G5" s="6"/>
      <c r="H5" s="6"/>
      <c r="I5" s="6"/>
      <c r="J5" s="6"/>
      <c r="K5" s="6"/>
      <c r="L5" s="6"/>
      <c r="M5" s="6"/>
      <c r="N5" s="6"/>
      <c r="O5" s="6"/>
      <c r="P5" s="6"/>
      <c r="Q5" s="6"/>
      <c r="R5" s="6"/>
      <c r="S5" s="6"/>
      <c r="T5" s="6"/>
      <c r="U5" s="6"/>
      <c r="V5" s="6"/>
      <c r="W5" s="6"/>
      <c r="X5" s="6"/>
      <c r="Y5" s="6"/>
      <c r="Z5" s="6"/>
      <c r="AA5" s="6"/>
      <c r="AB5" s="6"/>
    </row>
    <row r="6" spans="1:28" x14ac:dyDescent="0.3">
      <c r="A6" s="6"/>
      <c r="B6" s="6"/>
      <c r="C6" s="6"/>
      <c r="D6" s="6"/>
      <c r="E6" s="6"/>
      <c r="F6" s="6"/>
      <c r="G6" s="6"/>
      <c r="H6" s="6"/>
      <c r="I6" s="6"/>
      <c r="J6" s="6"/>
      <c r="K6" s="6"/>
      <c r="L6" s="6"/>
      <c r="M6" s="6"/>
      <c r="N6" s="6"/>
      <c r="O6" s="6"/>
      <c r="P6" s="6"/>
      <c r="Q6" s="6"/>
      <c r="R6" s="6"/>
      <c r="S6" s="6"/>
      <c r="T6" s="6"/>
      <c r="U6" s="6"/>
      <c r="V6" s="6"/>
      <c r="W6" s="6"/>
      <c r="X6" s="6"/>
      <c r="Y6" s="6"/>
      <c r="Z6" s="6"/>
      <c r="AA6" s="6"/>
      <c r="AB6" s="6"/>
    </row>
    <row r="7" spans="1:28" x14ac:dyDescent="0.3">
      <c r="A7" s="6"/>
      <c r="B7" s="6"/>
      <c r="C7" s="6"/>
      <c r="D7" s="6"/>
      <c r="E7" s="6"/>
      <c r="F7" s="6"/>
      <c r="G7" s="6"/>
      <c r="H7" s="6"/>
      <c r="I7" s="6"/>
      <c r="J7" s="6"/>
      <c r="K7" s="6"/>
      <c r="L7" s="6"/>
      <c r="M7" s="6"/>
      <c r="N7" s="6"/>
      <c r="O7" s="6"/>
      <c r="P7" s="6"/>
      <c r="Q7" s="6"/>
      <c r="R7" s="6"/>
      <c r="S7" s="6"/>
      <c r="T7" s="6"/>
      <c r="U7" s="6"/>
      <c r="V7" s="6"/>
      <c r="W7" s="6"/>
      <c r="X7" s="6"/>
      <c r="Y7" s="6"/>
      <c r="Z7" s="6"/>
      <c r="AA7" s="6"/>
      <c r="AB7" s="6"/>
    </row>
    <row r="8" spans="1:28" x14ac:dyDescent="0.3">
      <c r="A8" s="6"/>
      <c r="B8" s="6"/>
      <c r="C8" s="6"/>
      <c r="D8" s="6"/>
      <c r="E8" s="6"/>
      <c r="F8" s="6"/>
      <c r="G8" s="6"/>
      <c r="H8" s="6"/>
      <c r="I8" s="6"/>
      <c r="J8" s="6"/>
      <c r="K8" s="6"/>
      <c r="L8" s="6"/>
      <c r="M8" s="6"/>
      <c r="N8" s="6"/>
      <c r="O8" s="6"/>
      <c r="P8" s="6"/>
      <c r="Q8" s="6"/>
      <c r="R8" s="6"/>
      <c r="S8" s="6"/>
      <c r="T8" s="6"/>
      <c r="U8" s="6"/>
      <c r="V8" s="6"/>
      <c r="W8" s="6"/>
      <c r="X8" s="6"/>
      <c r="Y8" s="6"/>
      <c r="Z8" s="6"/>
      <c r="AA8" s="6"/>
      <c r="AB8" s="6"/>
    </row>
    <row r="9" spans="1:28" x14ac:dyDescent="0.3">
      <c r="A9" s="6"/>
      <c r="B9" s="6"/>
      <c r="C9" s="6"/>
      <c r="D9" s="6"/>
      <c r="E9" s="6"/>
      <c r="F9" s="6"/>
      <c r="G9" s="6"/>
      <c r="H9" s="6"/>
      <c r="I9" s="6"/>
      <c r="J9" s="6"/>
      <c r="K9" s="6"/>
      <c r="L9" s="6"/>
      <c r="M9" s="6"/>
      <c r="N9" s="6"/>
      <c r="O9" s="6"/>
      <c r="P9" s="6"/>
      <c r="Q9" s="6"/>
      <c r="R9" s="6"/>
      <c r="S9" s="6"/>
      <c r="T9" s="6"/>
      <c r="U9" s="6"/>
      <c r="V9" s="6"/>
      <c r="W9" s="6"/>
      <c r="X9" s="6"/>
      <c r="Y9" s="6"/>
      <c r="Z9" s="6"/>
      <c r="AA9" s="6"/>
      <c r="AB9" s="6"/>
    </row>
    <row r="10" spans="1:28"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row>
    <row r="11" spans="1:28"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row>
    <row r="12" spans="1:28"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row>
    <row r="13" spans="1:28"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row>
    <row r="14" spans="1:28"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row>
    <row r="15" spans="1:28"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row>
    <row r="16" spans="1:28"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row>
    <row r="17" spans="1:28"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row>
    <row r="18" spans="1:28"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row>
    <row r="19" spans="1:28"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row>
    <row r="20" spans="1:28"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row>
    <row r="21" spans="1:28"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row>
    <row r="22" spans="1:28"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row>
    <row r="23" spans="1:28"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row>
    <row r="24" spans="1:28"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row>
    <row r="25" spans="1:28"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row>
    <row r="26" spans="1:28"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row>
    <row r="27" spans="1:28"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row>
    <row r="28" spans="1:28"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row>
    <row r="29" spans="1:28"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row>
    <row r="30" spans="1:28"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row>
    <row r="31" spans="1:28"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row>
    <row r="32" spans="1:28"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row>
    <row r="33" spans="1:28"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row>
    <row r="34" spans="1:28"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row>
    <row r="35" spans="1:28"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row>
    <row r="36" spans="1:28"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spans="1:28"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row>
    <row r="38" spans="1:28"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row>
    <row r="39" spans="1:28"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row>
    <row r="40" spans="1:28"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spans="1:28"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row>
    <row r="42" spans="1:28"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row>
    <row r="43" spans="1:28"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row>
    <row r="44" spans="1:28"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row>
    <row r="45" spans="1:28"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row>
    <row r="46" spans="1:28"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row>
    <row r="47" spans="1:28"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row>
    <row r="48" spans="1:28"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row>
    <row r="49" spans="1:28"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row>
    <row r="50" spans="1:28"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row>
    <row r="51" spans="1:28"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row>
    <row r="52" spans="1:28"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spans="1:28"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Sales_Dataset</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Aneesh Vasantha</dc:creator>
  <cp:lastModifiedBy>Aneesh Vasantha</cp:lastModifiedBy>
  <dcterms:created xsi:type="dcterms:W3CDTF">2026-08-21T11:29:42Z</dcterms:created>
  <dcterms:modified xsi:type="dcterms:W3CDTF">2026-08-21T11:39:39Z</dcterms:modified>
</cp:coreProperties>
</file>